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<sst xmlns="http://schemas.openxmlformats.org/spreadsheetml/2006/main" uniqueCount="39">
  <si>
    <t>Table 1</t>
  </si>
  <si>
    <t>Kpoints</t>
  </si>
  <si>
    <t>Kpoints reduced</t>
  </si>
  <si>
    <t>Free Energy</t>
  </si>
  <si>
    <t>Energy</t>
  </si>
  <si>
    <t>Smear energy</t>
  </si>
  <si>
    <t>EF</t>
  </si>
  <si>
    <t>EF crossings 0</t>
  </si>
  <si>
    <t>EF crossings 1</t>
  </si>
  <si>
    <t>EF crossings 2</t>
  </si>
  <si>
    <t>EF crossings 3</t>
  </si>
  <si>
    <t>Orbital energy</t>
  </si>
  <si>
    <t>Hartree energy</t>
  </si>
  <si>
    <t>Exc energy</t>
  </si>
  <si>
    <t>Ion-ion energy</t>
  </si>
  <si>
    <t>Kinetic</t>
  </si>
  <si>
    <t>Vlocal</t>
  </si>
  <si>
    <t>Vnonlocal</t>
  </si>
  <si>
    <t>Delta F</t>
  </si>
  <si>
    <t>1x1x1</t>
  </si>
  <si>
    <t>——</t>
  </si>
  <si>
    <t>2x2x2</t>
  </si>
  <si>
    <t>3x3x3</t>
  </si>
  <si>
    <t>4x4x4</t>
  </si>
  <si>
    <t>5x5x5</t>
  </si>
  <si>
    <t>6x6x6</t>
  </si>
  <si>
    <t>7x7x7</t>
  </si>
  <si>
    <t>8x8x8</t>
  </si>
  <si>
    <t>9x9x9</t>
  </si>
  <si>
    <t>10x10x10</t>
  </si>
  <si>
    <t>11x11x11</t>
  </si>
  <si>
    <t>12x12x12</t>
  </si>
  <si>
    <t>13x13x13</t>
  </si>
  <si>
    <t>14x14x14</t>
  </si>
  <si>
    <t>15x15x15</t>
  </si>
  <si>
    <t>16x16x16</t>
  </si>
  <si>
    <t>17x17x17</t>
  </si>
  <si>
    <t>18x18x18</t>
  </si>
  <si>
    <t>19x19x19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</si>
</sst>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000"/>
    <numFmt numFmtId="60" formatCode="0E+00"/>
  </numFmts>
  <fonts count="7">
    <font>
      <sz val="14"/>
      <color indexed="8"/>
      <name val="Andale Mono"/>
    </font>
    <font>
      <sz val="12"/>
      <color indexed="9"/>
      <name val="Helvetica Neue"/>
    </font>
    <font>
      <b val="1"/>
      <sz val="16"/>
      <color indexed="9"/>
      <name val="Helvetica Neue"/>
    </font>
    <font>
      <b val="1"/>
      <sz val="18"/>
      <color indexed="9"/>
      <name val="Helvetica Neue"/>
    </font>
    <font>
      <sz val="14"/>
      <color indexed="9"/>
      <name val="Helvetica Neue"/>
    </font>
    <font>
      <sz val="12"/>
      <color indexed="14"/>
      <name val="Helvetica Neue"/>
    </font>
    <font>
      <sz val="10"/>
      <color indexed="9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1" fontId="4" borderId="3" applyNumberFormat="1" applyFont="1" applyFill="0" applyBorder="1" applyAlignment="1" applyProtection="0">
      <alignment vertical="top" wrapText="1"/>
    </xf>
    <xf numFmtId="59" fontId="4" borderId="4" applyNumberFormat="1" applyFont="1" applyFill="0" applyBorder="1" applyAlignment="1" applyProtection="0">
      <alignment vertical="top" wrapText="1"/>
    </xf>
    <xf numFmtId="0" fontId="4" borderId="4" applyNumberFormat="1" applyFont="1" applyFill="0" applyBorder="1" applyAlignment="1" applyProtection="0">
      <alignment vertical="top" wrapText="1"/>
    </xf>
    <xf numFmtId="49" fontId="4" borderId="4" applyNumberFormat="1" applyFont="1" applyFill="0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1" fontId="4" borderId="6" applyNumberFormat="1" applyFont="1" applyFill="0" applyBorder="1" applyAlignment="1" applyProtection="0">
      <alignment vertical="top" wrapText="1"/>
    </xf>
    <xf numFmtId="59" fontId="4" borderId="7" applyNumberFormat="1" applyFont="1" applyFill="0" applyBorder="1" applyAlignment="1" applyProtection="0">
      <alignment vertical="top" wrapText="1"/>
    </xf>
    <xf numFmtId="0" fontId="4" borderId="7" applyNumberFormat="1" applyFont="1" applyFill="0" applyBorder="1" applyAlignment="1" applyProtection="0">
      <alignment vertical="top" wrapText="1"/>
    </xf>
    <xf numFmtId="0" fontId="4" borderId="6" applyNumberFormat="1" applyFont="1" applyFill="0" applyBorder="1" applyAlignment="1" applyProtection="0">
      <alignment vertical="top" wrapText="1"/>
    </xf>
    <xf numFmtId="0" fontId="4" borderId="6" applyNumberFormat="0" applyFont="1" applyFill="0" applyBorder="1" applyAlignment="1" applyProtection="0">
      <alignment vertical="top" wrapText="1"/>
    </xf>
    <xf numFmtId="0" fontId="4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7fe13"/>
      <rgbColor rgb="ff000000"/>
      <rgbColor rgb="ffbdc0bf"/>
      <rgbColor rgb="ffa5a5a5"/>
      <rgbColor rgb="ff3f3f3f"/>
      <rgbColor rgb="ffdbdbdb"/>
      <rgbColor rgb="fffefffe"/>
      <rgbColor rgb="ffb8b8b8"/>
      <rgbColor rgb="ff919191"/>
      <rgbColor rgb="fff8ba00"/>
      <rgbColor rgb="fffe2500"/>
      <rgbColor rgb="ff22aeff"/>
      <rgbColor rgb="ff73dd4d"/>
      <rgbColor rgb="ffa0a0a0"/>
      <rgbColor rgb="fff9c3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809874"/>
          <c:y val="0.0390667"/>
          <c:w val="0.914013"/>
          <c:h val="0.74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'Sheet 2'!$A$6</c:f>
              <c:strCache>
                <c:ptCount val="1"/>
                <c:pt idx="0">
                  <c:v>4x4x4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2'!$B$6:$R$6</c:f>
              <c:numCache>
                <c:ptCount val="17"/>
                <c:pt idx="0">
                  <c:v>4.000000</c:v>
                </c:pt>
                <c:pt idx="1">
                  <c:v>-217.657347</c:v>
                </c:pt>
                <c:pt idx="2">
                  <c:v>-217.650575</c:v>
                </c:pt>
                <c:pt idx="3">
                  <c:v>-0.006772</c:v>
                </c:pt>
                <c:pt idx="4">
                  <c:v>0.508211</c:v>
                </c:pt>
                <c:pt idx="5">
                  <c:v>2.000000</c:v>
                </c:pt>
                <c:pt idx="6">
                  <c:v>0.000000</c:v>
                </c:pt>
                <c:pt idx="7">
                  <c:v>1.000000</c:v>
                </c:pt>
                <c:pt idx="8">
                  <c:v>1.000000</c:v>
                </c:pt>
                <c:pt idx="9">
                  <c:v>17.325138</c:v>
                </c:pt>
                <c:pt idx="10">
                  <c:v>41.100161</c:v>
                </c:pt>
                <c:pt idx="11">
                  <c:v>-76.515980</c:v>
                </c:pt>
                <c:pt idx="12">
                  <c:v>-162.193795</c:v>
                </c:pt>
                <c:pt idx="13">
                  <c:v>200.609460</c:v>
                </c:pt>
                <c:pt idx="14">
                  <c:v>11.468787</c:v>
                </c:pt>
                <c:pt idx="15">
                  <c:v>-228.308319</c:v>
                </c:pt>
                <c:pt idx="16">
                  <c:v>0.626346</c:v>
                </c:pt>
              </c:numCache>
            </c:numRef>
          </c:val>
        </c:ser>
        <c:ser>
          <c:idx val="1"/>
          <c:order val="1"/>
          <c:tx>
            <c:strRef>
              <c:f>'Sheet 2'!$A$7</c:f>
              <c:strCache>
                <c:ptCount val="1"/>
                <c:pt idx="0">
                  <c:v>5x5x5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2'!$B$7:$R$7</c:f>
              <c:numCache>
                <c:ptCount val="17"/>
                <c:pt idx="0">
                  <c:v>10.000000</c:v>
                </c:pt>
                <c:pt idx="1">
                  <c:v>-216.696613</c:v>
                </c:pt>
                <c:pt idx="2">
                  <c:v>-216.691644</c:v>
                </c:pt>
                <c:pt idx="3">
                  <c:v>-0.004969</c:v>
                </c:pt>
                <c:pt idx="4">
                  <c:v>0.504961</c:v>
                </c:pt>
                <c:pt idx="5">
                  <c:v>5.000000</c:v>
                </c:pt>
                <c:pt idx="6">
                  <c:v>1.000000</c:v>
                </c:pt>
                <c:pt idx="7">
                  <c:v>3.000000</c:v>
                </c:pt>
                <c:pt idx="8">
                  <c:v>1.000000</c:v>
                </c:pt>
                <c:pt idx="9">
                  <c:v>18.266020</c:v>
                </c:pt>
                <c:pt idx="10">
                  <c:v>41.081566</c:v>
                </c:pt>
                <c:pt idx="11">
                  <c:v>-76.511584</c:v>
                </c:pt>
                <c:pt idx="12">
                  <c:v>-162.193795</c:v>
                </c:pt>
                <c:pt idx="13">
                  <c:v>200.580659</c:v>
                </c:pt>
                <c:pt idx="14">
                  <c:v>11.477367</c:v>
                </c:pt>
                <c:pt idx="15">
                  <c:v>-233.448352</c:v>
                </c:pt>
                <c:pt idx="16">
                  <c:v>0.960734</c:v>
                </c:pt>
              </c:numCache>
            </c:numRef>
          </c:val>
        </c:ser>
        <c:ser>
          <c:idx val="2"/>
          <c:order val="2"/>
          <c:tx>
            <c:strRef>
              <c:f>'Sheet 2'!$A$8</c:f>
              <c:strCache>
                <c:ptCount val="1"/>
                <c:pt idx="0">
                  <c:v>6x6x6</c:v>
                </c:pt>
              </c:strCache>
            </c:strRef>
          </c:tx>
          <c:spPr>
            <a:solidFill>
              <a:srgbClr val="92929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2'!$B$8:$R$8</c:f>
              <c:numCache>
                <c:ptCount val="17"/>
                <c:pt idx="0">
                  <c:v>10.000000</c:v>
                </c:pt>
                <c:pt idx="1">
                  <c:v>-215.825809</c:v>
                </c:pt>
                <c:pt idx="2">
                  <c:v>-215.822436</c:v>
                </c:pt>
                <c:pt idx="3">
                  <c:v>-0.003373</c:v>
                </c:pt>
                <c:pt idx="4">
                  <c:v>0.504846</c:v>
                </c:pt>
                <c:pt idx="5">
                  <c:v>4.000000</c:v>
                </c:pt>
                <c:pt idx="6">
                  <c:v>2.000000</c:v>
                </c:pt>
                <c:pt idx="7">
                  <c:v>3.000000</c:v>
                </c:pt>
                <c:pt idx="8">
                  <c:v>1.000000</c:v>
                </c:pt>
                <c:pt idx="9">
                  <c:v>19.132457</c:v>
                </c:pt>
                <c:pt idx="10">
                  <c:v>41.078902</c:v>
                </c:pt>
                <c:pt idx="11">
                  <c:v>-76.511044</c:v>
                </c:pt>
                <c:pt idx="12">
                  <c:v>-162.193795</c:v>
                </c:pt>
                <c:pt idx="13">
                  <c:v>200.573362</c:v>
                </c:pt>
                <c:pt idx="14">
                  <c:v>11.478611</c:v>
                </c:pt>
                <c:pt idx="15">
                  <c:v>-238.148833</c:v>
                </c:pt>
                <c:pt idx="16">
                  <c:v>0.870804</c:v>
                </c:pt>
              </c:numCache>
            </c:numRef>
          </c:val>
        </c:ser>
        <c:ser>
          <c:idx val="3"/>
          <c:order val="3"/>
          <c:tx>
            <c:strRef>
              <c:f>'Sheet 2'!$A$9</c:f>
              <c:strCache>
                <c:ptCount val="1"/>
                <c:pt idx="0">
                  <c:v>7x7x7</c:v>
                </c:pt>
              </c:strCache>
            </c:strRef>
          </c:tx>
          <c:spPr>
            <a:solidFill>
              <a:srgbClr val="F8BA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2'!$B$9:$R$9</c:f>
              <c:numCache>
                <c:ptCount val="17"/>
                <c:pt idx="0">
                  <c:v>20.000000</c:v>
                </c:pt>
                <c:pt idx="1">
                  <c:v>-215.395655</c:v>
                </c:pt>
                <c:pt idx="2">
                  <c:v>-215.393098</c:v>
                </c:pt>
                <c:pt idx="3">
                  <c:v>-0.002557</c:v>
                </c:pt>
                <c:pt idx="4">
                  <c:v>0.507377</c:v>
                </c:pt>
                <c:pt idx="5">
                  <c:v>8.000000</c:v>
                </c:pt>
                <c:pt idx="6">
                  <c:v>4.000000</c:v>
                </c:pt>
                <c:pt idx="7">
                  <c:v>5.000000</c:v>
                </c:pt>
                <c:pt idx="8">
                  <c:v>3.000000</c:v>
                </c:pt>
                <c:pt idx="9">
                  <c:v>19.576477</c:v>
                </c:pt>
                <c:pt idx="10">
                  <c:v>41.094050</c:v>
                </c:pt>
                <c:pt idx="11">
                  <c:v>-76.514940</c:v>
                </c:pt>
                <c:pt idx="12">
                  <c:v>-162.193795</c:v>
                </c:pt>
                <c:pt idx="13">
                  <c:v>200.598466</c:v>
                </c:pt>
                <c:pt idx="14">
                  <c:v>11.473166</c:v>
                </c:pt>
                <c:pt idx="15">
                  <c:v>-240.336905</c:v>
                </c:pt>
                <c:pt idx="16">
                  <c:v>0.430154</c:v>
                </c:pt>
              </c:numCache>
            </c:numRef>
          </c:val>
        </c:ser>
        <c:ser>
          <c:idx val="4"/>
          <c:order val="4"/>
          <c:tx>
            <c:strRef>
              <c:f>'Sheet 2'!$A$10</c:f>
              <c:strCache>
                <c:ptCount val="1"/>
                <c:pt idx="0">
                  <c:v>8x8x8</c:v>
                </c:pt>
              </c:strCache>
            </c:strRef>
          </c:tx>
          <c:spPr>
            <a:solidFill>
              <a:srgbClr val="FF26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2'!$B$10:$R$10</c:f>
              <c:numCache>
                <c:ptCount val="17"/>
                <c:pt idx="0">
                  <c:v>20.000000</c:v>
                </c:pt>
                <c:pt idx="1">
                  <c:v>-215.297866</c:v>
                </c:pt>
                <c:pt idx="2">
                  <c:v>-215.295304</c:v>
                </c:pt>
                <c:pt idx="3">
                  <c:v>-0.002562</c:v>
                </c:pt>
                <c:pt idx="4">
                  <c:v>0.508595</c:v>
                </c:pt>
                <c:pt idx="5">
                  <c:v>8.000000</c:v>
                </c:pt>
                <c:pt idx="6">
                  <c:v>4.000000</c:v>
                </c:pt>
                <c:pt idx="7">
                  <c:v>3.000000</c:v>
                </c:pt>
                <c:pt idx="8">
                  <c:v>5.000000</c:v>
                </c:pt>
                <c:pt idx="9">
                  <c:v>19.675393</c:v>
                </c:pt>
                <c:pt idx="10">
                  <c:v>41.095150</c:v>
                </c:pt>
                <c:pt idx="11">
                  <c:v>-76.515117</c:v>
                </c:pt>
                <c:pt idx="12">
                  <c:v>-162.193795</c:v>
                </c:pt>
                <c:pt idx="13">
                  <c:v>200.597266</c:v>
                </c:pt>
                <c:pt idx="14">
                  <c:v>11.471896</c:v>
                </c:pt>
                <c:pt idx="15">
                  <c:v>-240.899481</c:v>
                </c:pt>
                <c:pt idx="16">
                  <c:v>0.097789</c:v>
                </c:pt>
              </c:numCache>
            </c:numRef>
          </c:val>
        </c:ser>
        <c:ser>
          <c:idx val="5"/>
          <c:order val="5"/>
          <c:tx>
            <c:strRef>
              <c:f>'Sheet 2'!$A$11</c:f>
              <c:strCache>
                <c:ptCount val="1"/>
                <c:pt idx="0">
                  <c:v>9x9x9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2'!$B$11:$R$11</c:f>
              <c:numCache>
                <c:ptCount val="17"/>
                <c:pt idx="0">
                  <c:v>35.000000</c:v>
                </c:pt>
                <c:pt idx="1">
                  <c:v>-215.263557</c:v>
                </c:pt>
                <c:pt idx="2">
                  <c:v>-215.261084</c:v>
                </c:pt>
                <c:pt idx="3">
                  <c:v>-0.002474</c:v>
                </c:pt>
                <c:pt idx="4">
                  <c:v>0.509294</c:v>
                </c:pt>
                <c:pt idx="5">
                  <c:v>13.000000</c:v>
                </c:pt>
                <c:pt idx="6">
                  <c:v>10.000000</c:v>
                </c:pt>
                <c:pt idx="7">
                  <c:v>5.000000</c:v>
                </c:pt>
                <c:pt idx="8">
                  <c:v>7.000000</c:v>
                </c:pt>
                <c:pt idx="9">
                  <c:v>19.710605</c:v>
                </c:pt>
                <c:pt idx="10">
                  <c:v>41.096281</c:v>
                </c:pt>
                <c:pt idx="11">
                  <c:v>-76.515257</c:v>
                </c:pt>
                <c:pt idx="12">
                  <c:v>-162.193795</c:v>
                </c:pt>
                <c:pt idx="13">
                  <c:v>200.596969</c:v>
                </c:pt>
                <c:pt idx="14">
                  <c:v>11.470719</c:v>
                </c:pt>
                <c:pt idx="15">
                  <c:v>-241.036547</c:v>
                </c:pt>
                <c:pt idx="16">
                  <c:v>0.034309</c:v>
                </c:pt>
              </c:numCache>
            </c:numRef>
          </c:val>
        </c:ser>
        <c:ser>
          <c:idx val="6"/>
          <c:order val="6"/>
          <c:tx>
            <c:strRef>
              <c:f>'Sheet 2'!$A$12</c:f>
              <c:strCache>
                <c:ptCount val="1"/>
                <c:pt idx="0">
                  <c:v>10x10x10</c:v>
                </c:pt>
              </c:strCache>
            </c:strRef>
          </c:tx>
          <c:spPr>
            <a:solidFill>
              <a:srgbClr val="22AEFF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2'!$B$12:$R$12</c:f>
              <c:numCache>
                <c:ptCount val="17"/>
                <c:pt idx="0">
                  <c:v>35.000000</c:v>
                </c:pt>
                <c:pt idx="1">
                  <c:v>-215.251458</c:v>
                </c:pt>
                <c:pt idx="2">
                  <c:v>-215.248967</c:v>
                </c:pt>
                <c:pt idx="3">
                  <c:v>-0.002491</c:v>
                </c:pt>
                <c:pt idx="4">
                  <c:v>0.510048</c:v>
                </c:pt>
                <c:pt idx="5">
                  <c:v>12.000000</c:v>
                </c:pt>
                <c:pt idx="6">
                  <c:v>6.000000</c:v>
                </c:pt>
                <c:pt idx="7">
                  <c:v>10.000000</c:v>
                </c:pt>
                <c:pt idx="8">
                  <c:v>7.000000</c:v>
                </c:pt>
                <c:pt idx="9">
                  <c:v>19.727233</c:v>
                </c:pt>
                <c:pt idx="10">
                  <c:v>41.100899</c:v>
                </c:pt>
                <c:pt idx="11">
                  <c:v>-76.516578</c:v>
                </c:pt>
                <c:pt idx="12">
                  <c:v>-162.193795</c:v>
                </c:pt>
                <c:pt idx="13">
                  <c:v>200.606382</c:v>
                </c:pt>
                <c:pt idx="14">
                  <c:v>11.469608</c:v>
                </c:pt>
                <c:pt idx="15">
                  <c:v>-241.108944</c:v>
                </c:pt>
                <c:pt idx="16">
                  <c:v>0.012099</c:v>
                </c:pt>
              </c:numCache>
            </c:numRef>
          </c:val>
        </c:ser>
        <c:ser>
          <c:idx val="7"/>
          <c:order val="7"/>
          <c:tx>
            <c:strRef>
              <c:f>'Sheet 2'!$A$13</c:f>
              <c:strCache>
                <c:ptCount val="1"/>
                <c:pt idx="0">
                  <c:v>11x11x11</c:v>
                </c:pt>
              </c:strCache>
            </c:strRef>
          </c:tx>
          <c:spPr>
            <a:solidFill>
              <a:srgbClr val="73DD4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2'!$B$13:$R$13</c:f>
              <c:numCache>
                <c:ptCount val="17"/>
                <c:pt idx="0">
                  <c:v>56.000000</c:v>
                </c:pt>
                <c:pt idx="1">
                  <c:v>-215.245691</c:v>
                </c:pt>
                <c:pt idx="2">
                  <c:v>-215.243089</c:v>
                </c:pt>
                <c:pt idx="3">
                  <c:v>-0.002603</c:v>
                </c:pt>
                <c:pt idx="4">
                  <c:v>0.510055</c:v>
                </c:pt>
                <c:pt idx="5">
                  <c:v>22.000000</c:v>
                </c:pt>
                <c:pt idx="6">
                  <c:v>10.000000</c:v>
                </c:pt>
                <c:pt idx="7">
                  <c:v>15.000000</c:v>
                </c:pt>
                <c:pt idx="8">
                  <c:v>7.000000</c:v>
                </c:pt>
                <c:pt idx="9">
                  <c:v>19.730288</c:v>
                </c:pt>
                <c:pt idx="10">
                  <c:v>41.097988</c:v>
                </c:pt>
                <c:pt idx="11">
                  <c:v>-76.515785</c:v>
                </c:pt>
                <c:pt idx="12">
                  <c:v>-162.193795</c:v>
                </c:pt>
                <c:pt idx="13">
                  <c:v>200.600988</c:v>
                </c:pt>
                <c:pt idx="14">
                  <c:v>11.470430</c:v>
                </c:pt>
                <c:pt idx="15">
                  <c:v>-241.137254</c:v>
                </c:pt>
                <c:pt idx="16">
                  <c:v>0.005767</c:v>
                </c:pt>
              </c:numCache>
            </c:numRef>
          </c:val>
        </c:ser>
        <c:ser>
          <c:idx val="8"/>
          <c:order val="8"/>
          <c:tx>
            <c:strRef>
              <c:f>'Sheet 2'!$A$14</c:f>
              <c:strCache>
                <c:ptCount val="1"/>
                <c:pt idx="0">
                  <c:v>12x12x12</c:v>
                </c:pt>
              </c:strCache>
            </c:strRef>
          </c:tx>
          <c:spPr>
            <a:solidFill>
              <a:srgbClr val="A0A0A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2'!$B$14:$R$14</c:f>
              <c:numCache>
                <c:ptCount val="17"/>
                <c:pt idx="0">
                  <c:v>56.000000</c:v>
                </c:pt>
                <c:pt idx="1">
                  <c:v>-215.243822</c:v>
                </c:pt>
                <c:pt idx="2">
                  <c:v>-215.241179</c:v>
                </c:pt>
                <c:pt idx="3">
                  <c:v>-0.002644</c:v>
                </c:pt>
                <c:pt idx="4">
                  <c:v>0.509904</c:v>
                </c:pt>
                <c:pt idx="5">
                  <c:v>20.000000</c:v>
                </c:pt>
                <c:pt idx="6">
                  <c:v>11.000000</c:v>
                </c:pt>
                <c:pt idx="7">
                  <c:v>15.000000</c:v>
                </c:pt>
                <c:pt idx="8">
                  <c:v>8.000000</c:v>
                </c:pt>
                <c:pt idx="9">
                  <c:v>19.731633</c:v>
                </c:pt>
                <c:pt idx="10">
                  <c:v>41.097403</c:v>
                </c:pt>
                <c:pt idx="11">
                  <c:v>-76.515682</c:v>
                </c:pt>
                <c:pt idx="12">
                  <c:v>-162.193795</c:v>
                </c:pt>
                <c:pt idx="13">
                  <c:v>200.600258</c:v>
                </c:pt>
                <c:pt idx="14">
                  <c:v>11.470787</c:v>
                </c:pt>
                <c:pt idx="15">
                  <c:v>-241.164005</c:v>
                </c:pt>
                <c:pt idx="16">
                  <c:v>0.001869</c:v>
                </c:pt>
              </c:numCache>
            </c:numRef>
          </c:val>
        </c:ser>
        <c:ser>
          <c:idx val="9"/>
          <c:order val="9"/>
          <c:tx>
            <c:strRef>
              <c:f>'Sheet 2'!$A$15</c:f>
              <c:strCache>
                <c:ptCount val="1"/>
                <c:pt idx="0">
                  <c:v>13x13x13</c:v>
                </c:pt>
              </c:strCache>
            </c:strRef>
          </c:tx>
          <c:spPr>
            <a:solidFill>
              <a:srgbClr val="F9C32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2'!$B$15:$R$15</c:f>
              <c:numCache>
                <c:ptCount val="17"/>
                <c:pt idx="0">
                  <c:v>84.000000</c:v>
                </c:pt>
                <c:pt idx="1">
                  <c:v>-215.241373</c:v>
                </c:pt>
                <c:pt idx="2">
                  <c:v>-215.238709</c:v>
                </c:pt>
                <c:pt idx="3">
                  <c:v>-0.002665</c:v>
                </c:pt>
                <c:pt idx="4">
                  <c:v>0.509928</c:v>
                </c:pt>
                <c:pt idx="5">
                  <c:v>35.000000</c:v>
                </c:pt>
                <c:pt idx="6">
                  <c:v>14.000000</c:v>
                </c:pt>
                <c:pt idx="7">
                  <c:v>22.000000</c:v>
                </c:pt>
                <c:pt idx="8">
                  <c:v>10.000000</c:v>
                </c:pt>
                <c:pt idx="9">
                  <c:v>19.733890</c:v>
                </c:pt>
                <c:pt idx="10">
                  <c:v>41.097191</c:v>
                </c:pt>
                <c:pt idx="11">
                  <c:v>-76.515648</c:v>
                </c:pt>
                <c:pt idx="12">
                  <c:v>-162.193795</c:v>
                </c:pt>
                <c:pt idx="13">
                  <c:v>200.600463</c:v>
                </c:pt>
                <c:pt idx="14">
                  <c:v>11.471012</c:v>
                </c:pt>
                <c:pt idx="15">
                  <c:v>-241.167125</c:v>
                </c:pt>
                <c:pt idx="16">
                  <c:v>0.002449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50"/>
        <c:minorUnit val="7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70112"/>
          <c:y val="0.0390667"/>
          <c:w val="0.807788"/>
          <c:h val="0.7660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 2'!$A$6</c:f>
              <c:strCache>
                <c:ptCount val="1"/>
                <c:pt idx="0">
                  <c:v>4x4x4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2'!$B$2,'Sheet 2'!$C$2,'Sheet 2'!$D$2,'Sheet 2'!$E$2,'Sheet 2'!$F$2,'Sheet 2'!$G$2,'Sheet 2'!$H$2,'Sheet 2'!$I$2,'Sheet 2'!$J$2,'Sheet 2'!$K$2,'Sheet 2'!$L$2,'Sheet 2'!$M$2,'Sheet 2'!$N$2,'Sheet 2'!$O$2,'Sheet 2'!$P$2,'Sheet 2'!$Q$2,'Sheet 2'!$R$2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2'!$B$6:$R$6</c:f>
              <c:numCache>
                <c:ptCount val="17"/>
                <c:pt idx="0">
                  <c:v>4.000000</c:v>
                </c:pt>
                <c:pt idx="1">
                  <c:v>-217.657347</c:v>
                </c:pt>
                <c:pt idx="2">
                  <c:v>-217.650575</c:v>
                </c:pt>
                <c:pt idx="3">
                  <c:v>-0.006772</c:v>
                </c:pt>
                <c:pt idx="4">
                  <c:v>0.508211</c:v>
                </c:pt>
                <c:pt idx="5">
                  <c:v>2.000000</c:v>
                </c:pt>
                <c:pt idx="6">
                  <c:v>0.000000</c:v>
                </c:pt>
                <c:pt idx="7">
                  <c:v>1.000000</c:v>
                </c:pt>
                <c:pt idx="8">
                  <c:v>1.000000</c:v>
                </c:pt>
                <c:pt idx="9">
                  <c:v>17.325138</c:v>
                </c:pt>
                <c:pt idx="10">
                  <c:v>41.100161</c:v>
                </c:pt>
                <c:pt idx="11">
                  <c:v>-76.515980</c:v>
                </c:pt>
                <c:pt idx="12">
                  <c:v>-162.193795</c:v>
                </c:pt>
                <c:pt idx="13">
                  <c:v>200.609460</c:v>
                </c:pt>
                <c:pt idx="14">
                  <c:v>11.468787</c:v>
                </c:pt>
                <c:pt idx="15">
                  <c:v>-228.308319</c:v>
                </c:pt>
                <c:pt idx="16">
                  <c:v>0.626346</c:v>
                </c:pt>
              </c:numCache>
            </c:numRef>
          </c:val>
        </c:ser>
        <c:ser>
          <c:idx val="1"/>
          <c:order val="1"/>
          <c:tx>
            <c:strRef>
              <c:f>'Sheet 2'!$A$7</c:f>
              <c:strCache>
                <c:ptCount val="1"/>
                <c:pt idx="0">
                  <c:v>5x5x5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2'!$B$2,'Sheet 2'!$C$2,'Sheet 2'!$D$2,'Sheet 2'!$E$2,'Sheet 2'!$F$2,'Sheet 2'!$G$2,'Sheet 2'!$H$2,'Sheet 2'!$I$2,'Sheet 2'!$J$2,'Sheet 2'!$K$2,'Sheet 2'!$L$2,'Sheet 2'!$M$2,'Sheet 2'!$N$2,'Sheet 2'!$O$2,'Sheet 2'!$P$2,'Sheet 2'!$Q$2,'Sheet 2'!$R$2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2'!$B$7:$R$7</c:f>
              <c:numCache>
                <c:ptCount val="17"/>
                <c:pt idx="0">
                  <c:v>10.000000</c:v>
                </c:pt>
                <c:pt idx="1">
                  <c:v>-216.696613</c:v>
                </c:pt>
                <c:pt idx="2">
                  <c:v>-216.691644</c:v>
                </c:pt>
                <c:pt idx="3">
                  <c:v>-0.004969</c:v>
                </c:pt>
                <c:pt idx="4">
                  <c:v>0.504961</c:v>
                </c:pt>
                <c:pt idx="5">
                  <c:v>5.000000</c:v>
                </c:pt>
                <c:pt idx="6">
                  <c:v>1.000000</c:v>
                </c:pt>
                <c:pt idx="7">
                  <c:v>3.000000</c:v>
                </c:pt>
                <c:pt idx="8">
                  <c:v>1.000000</c:v>
                </c:pt>
                <c:pt idx="9">
                  <c:v>18.266020</c:v>
                </c:pt>
                <c:pt idx="10">
                  <c:v>41.081566</c:v>
                </c:pt>
                <c:pt idx="11">
                  <c:v>-76.511584</c:v>
                </c:pt>
                <c:pt idx="12">
                  <c:v>-162.193795</c:v>
                </c:pt>
                <c:pt idx="13">
                  <c:v>200.580659</c:v>
                </c:pt>
                <c:pt idx="14">
                  <c:v>11.477367</c:v>
                </c:pt>
                <c:pt idx="15">
                  <c:v>-233.448352</c:v>
                </c:pt>
                <c:pt idx="16">
                  <c:v>0.960734</c:v>
                </c:pt>
              </c:numCache>
            </c:numRef>
          </c:val>
        </c:ser>
        <c:ser>
          <c:idx val="2"/>
          <c:order val="2"/>
          <c:tx>
            <c:strRef>
              <c:f>'Sheet 2'!$A$8</c:f>
              <c:strCache>
                <c:ptCount val="1"/>
                <c:pt idx="0">
                  <c:v>6x6x6</c:v>
                </c:pt>
              </c:strCache>
            </c:strRef>
          </c:tx>
          <c:spPr>
            <a:solidFill>
              <a:srgbClr val="92929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2'!$B$2,'Sheet 2'!$C$2,'Sheet 2'!$D$2,'Sheet 2'!$E$2,'Sheet 2'!$F$2,'Sheet 2'!$G$2,'Sheet 2'!$H$2,'Sheet 2'!$I$2,'Sheet 2'!$J$2,'Sheet 2'!$K$2,'Sheet 2'!$L$2,'Sheet 2'!$M$2,'Sheet 2'!$N$2,'Sheet 2'!$O$2,'Sheet 2'!$P$2,'Sheet 2'!$Q$2,'Sheet 2'!$R$2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2'!$B$8:$R$8</c:f>
              <c:numCache>
                <c:ptCount val="17"/>
                <c:pt idx="0">
                  <c:v>10.000000</c:v>
                </c:pt>
                <c:pt idx="1">
                  <c:v>-215.825809</c:v>
                </c:pt>
                <c:pt idx="2">
                  <c:v>-215.822436</c:v>
                </c:pt>
                <c:pt idx="3">
                  <c:v>-0.003373</c:v>
                </c:pt>
                <c:pt idx="4">
                  <c:v>0.504846</c:v>
                </c:pt>
                <c:pt idx="5">
                  <c:v>4.000000</c:v>
                </c:pt>
                <c:pt idx="6">
                  <c:v>2.000000</c:v>
                </c:pt>
                <c:pt idx="7">
                  <c:v>3.000000</c:v>
                </c:pt>
                <c:pt idx="8">
                  <c:v>1.000000</c:v>
                </c:pt>
                <c:pt idx="9">
                  <c:v>19.132457</c:v>
                </c:pt>
                <c:pt idx="10">
                  <c:v>41.078902</c:v>
                </c:pt>
                <c:pt idx="11">
                  <c:v>-76.511044</c:v>
                </c:pt>
                <c:pt idx="12">
                  <c:v>-162.193795</c:v>
                </c:pt>
                <c:pt idx="13">
                  <c:v>200.573362</c:v>
                </c:pt>
                <c:pt idx="14">
                  <c:v>11.478611</c:v>
                </c:pt>
                <c:pt idx="15">
                  <c:v>-238.148833</c:v>
                </c:pt>
                <c:pt idx="16">
                  <c:v>0.870804</c:v>
                </c:pt>
              </c:numCache>
            </c:numRef>
          </c:val>
        </c:ser>
        <c:ser>
          <c:idx val="3"/>
          <c:order val="3"/>
          <c:tx>
            <c:strRef>
              <c:f>'Sheet 2'!$A$9</c:f>
              <c:strCache>
                <c:ptCount val="1"/>
                <c:pt idx="0">
                  <c:v>7x7x7</c:v>
                </c:pt>
              </c:strCache>
            </c:strRef>
          </c:tx>
          <c:spPr>
            <a:solidFill>
              <a:srgbClr val="F8BA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2'!$B$2,'Sheet 2'!$C$2,'Sheet 2'!$D$2,'Sheet 2'!$E$2,'Sheet 2'!$F$2,'Sheet 2'!$G$2,'Sheet 2'!$H$2,'Sheet 2'!$I$2,'Sheet 2'!$J$2,'Sheet 2'!$K$2,'Sheet 2'!$L$2,'Sheet 2'!$M$2,'Sheet 2'!$N$2,'Sheet 2'!$O$2,'Sheet 2'!$P$2,'Sheet 2'!$Q$2,'Sheet 2'!$R$2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2'!$B$9:$R$9</c:f>
              <c:numCache>
                <c:ptCount val="17"/>
                <c:pt idx="0">
                  <c:v>20.000000</c:v>
                </c:pt>
                <c:pt idx="1">
                  <c:v>-215.395655</c:v>
                </c:pt>
                <c:pt idx="2">
                  <c:v>-215.393098</c:v>
                </c:pt>
                <c:pt idx="3">
                  <c:v>-0.002557</c:v>
                </c:pt>
                <c:pt idx="4">
                  <c:v>0.507377</c:v>
                </c:pt>
                <c:pt idx="5">
                  <c:v>8.000000</c:v>
                </c:pt>
                <c:pt idx="6">
                  <c:v>4.000000</c:v>
                </c:pt>
                <c:pt idx="7">
                  <c:v>5.000000</c:v>
                </c:pt>
                <c:pt idx="8">
                  <c:v>3.000000</c:v>
                </c:pt>
                <c:pt idx="9">
                  <c:v>19.576477</c:v>
                </c:pt>
                <c:pt idx="10">
                  <c:v>41.094050</c:v>
                </c:pt>
                <c:pt idx="11">
                  <c:v>-76.514940</c:v>
                </c:pt>
                <c:pt idx="12">
                  <c:v>-162.193795</c:v>
                </c:pt>
                <c:pt idx="13">
                  <c:v>200.598466</c:v>
                </c:pt>
                <c:pt idx="14">
                  <c:v>11.473166</c:v>
                </c:pt>
                <c:pt idx="15">
                  <c:v>-240.336905</c:v>
                </c:pt>
                <c:pt idx="16">
                  <c:v>0.430154</c:v>
                </c:pt>
              </c:numCache>
            </c:numRef>
          </c:val>
        </c:ser>
        <c:ser>
          <c:idx val="4"/>
          <c:order val="4"/>
          <c:tx>
            <c:strRef>
              <c:f>'Sheet 2'!$A$10</c:f>
              <c:strCache>
                <c:ptCount val="1"/>
                <c:pt idx="0">
                  <c:v>8x8x8</c:v>
                </c:pt>
              </c:strCache>
            </c:strRef>
          </c:tx>
          <c:spPr>
            <a:solidFill>
              <a:srgbClr val="FF26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2'!$B$2,'Sheet 2'!$C$2,'Sheet 2'!$D$2,'Sheet 2'!$E$2,'Sheet 2'!$F$2,'Sheet 2'!$G$2,'Sheet 2'!$H$2,'Sheet 2'!$I$2,'Sheet 2'!$J$2,'Sheet 2'!$K$2,'Sheet 2'!$L$2,'Sheet 2'!$M$2,'Sheet 2'!$N$2,'Sheet 2'!$O$2,'Sheet 2'!$P$2,'Sheet 2'!$Q$2,'Sheet 2'!$R$2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2'!$B$10:$R$10</c:f>
              <c:numCache>
                <c:ptCount val="17"/>
                <c:pt idx="0">
                  <c:v>20.000000</c:v>
                </c:pt>
                <c:pt idx="1">
                  <c:v>-215.297866</c:v>
                </c:pt>
                <c:pt idx="2">
                  <c:v>-215.295304</c:v>
                </c:pt>
                <c:pt idx="3">
                  <c:v>-0.002562</c:v>
                </c:pt>
                <c:pt idx="4">
                  <c:v>0.508595</c:v>
                </c:pt>
                <c:pt idx="5">
                  <c:v>8.000000</c:v>
                </c:pt>
                <c:pt idx="6">
                  <c:v>4.000000</c:v>
                </c:pt>
                <c:pt idx="7">
                  <c:v>3.000000</c:v>
                </c:pt>
                <c:pt idx="8">
                  <c:v>5.000000</c:v>
                </c:pt>
                <c:pt idx="9">
                  <c:v>19.675393</c:v>
                </c:pt>
                <c:pt idx="10">
                  <c:v>41.095150</c:v>
                </c:pt>
                <c:pt idx="11">
                  <c:v>-76.515117</c:v>
                </c:pt>
                <c:pt idx="12">
                  <c:v>-162.193795</c:v>
                </c:pt>
                <c:pt idx="13">
                  <c:v>200.597266</c:v>
                </c:pt>
                <c:pt idx="14">
                  <c:v>11.471896</c:v>
                </c:pt>
                <c:pt idx="15">
                  <c:v>-240.899481</c:v>
                </c:pt>
                <c:pt idx="16">
                  <c:v>0.097789</c:v>
                </c:pt>
              </c:numCache>
            </c:numRef>
          </c:val>
        </c:ser>
        <c:ser>
          <c:idx val="5"/>
          <c:order val="5"/>
          <c:tx>
            <c:strRef>
              <c:f>'Sheet 2'!$A$11</c:f>
              <c:strCache>
                <c:ptCount val="1"/>
                <c:pt idx="0">
                  <c:v>9x9x9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2'!$B$2,'Sheet 2'!$C$2,'Sheet 2'!$D$2,'Sheet 2'!$E$2,'Sheet 2'!$F$2,'Sheet 2'!$G$2,'Sheet 2'!$H$2,'Sheet 2'!$I$2,'Sheet 2'!$J$2,'Sheet 2'!$K$2,'Sheet 2'!$L$2,'Sheet 2'!$M$2,'Sheet 2'!$N$2,'Sheet 2'!$O$2,'Sheet 2'!$P$2,'Sheet 2'!$Q$2,'Sheet 2'!$R$2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2'!$B$11:$R$11</c:f>
              <c:numCache>
                <c:ptCount val="17"/>
                <c:pt idx="0">
                  <c:v>35.000000</c:v>
                </c:pt>
                <c:pt idx="1">
                  <c:v>-215.263557</c:v>
                </c:pt>
                <c:pt idx="2">
                  <c:v>-215.261084</c:v>
                </c:pt>
                <c:pt idx="3">
                  <c:v>-0.002474</c:v>
                </c:pt>
                <c:pt idx="4">
                  <c:v>0.509294</c:v>
                </c:pt>
                <c:pt idx="5">
                  <c:v>13.000000</c:v>
                </c:pt>
                <c:pt idx="6">
                  <c:v>10.000000</c:v>
                </c:pt>
                <c:pt idx="7">
                  <c:v>5.000000</c:v>
                </c:pt>
                <c:pt idx="8">
                  <c:v>7.000000</c:v>
                </c:pt>
                <c:pt idx="9">
                  <c:v>19.710605</c:v>
                </c:pt>
                <c:pt idx="10">
                  <c:v>41.096281</c:v>
                </c:pt>
                <c:pt idx="11">
                  <c:v>-76.515257</c:v>
                </c:pt>
                <c:pt idx="12">
                  <c:v>-162.193795</c:v>
                </c:pt>
                <c:pt idx="13">
                  <c:v>200.596969</c:v>
                </c:pt>
                <c:pt idx="14">
                  <c:v>11.470719</c:v>
                </c:pt>
                <c:pt idx="15">
                  <c:v>-241.036547</c:v>
                </c:pt>
                <c:pt idx="16">
                  <c:v>0.034309</c:v>
                </c:pt>
              </c:numCache>
            </c:numRef>
          </c:val>
        </c:ser>
        <c:ser>
          <c:idx val="6"/>
          <c:order val="6"/>
          <c:tx>
            <c:strRef>
              <c:f>'Sheet 2'!$A$12</c:f>
              <c:strCache>
                <c:ptCount val="1"/>
                <c:pt idx="0">
                  <c:v>10x10x10</c:v>
                </c:pt>
              </c:strCache>
            </c:strRef>
          </c:tx>
          <c:spPr>
            <a:solidFill>
              <a:srgbClr val="22AEFF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2'!$B$2,'Sheet 2'!$C$2,'Sheet 2'!$D$2,'Sheet 2'!$E$2,'Sheet 2'!$F$2,'Sheet 2'!$G$2,'Sheet 2'!$H$2,'Sheet 2'!$I$2,'Sheet 2'!$J$2,'Sheet 2'!$K$2,'Sheet 2'!$L$2,'Sheet 2'!$M$2,'Sheet 2'!$N$2,'Sheet 2'!$O$2,'Sheet 2'!$P$2,'Sheet 2'!$Q$2,'Sheet 2'!$R$2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2'!$B$12:$R$12</c:f>
              <c:numCache>
                <c:ptCount val="17"/>
                <c:pt idx="0">
                  <c:v>35.000000</c:v>
                </c:pt>
                <c:pt idx="1">
                  <c:v>-215.251458</c:v>
                </c:pt>
                <c:pt idx="2">
                  <c:v>-215.248967</c:v>
                </c:pt>
                <c:pt idx="3">
                  <c:v>-0.002491</c:v>
                </c:pt>
                <c:pt idx="4">
                  <c:v>0.510048</c:v>
                </c:pt>
                <c:pt idx="5">
                  <c:v>12.000000</c:v>
                </c:pt>
                <c:pt idx="6">
                  <c:v>6.000000</c:v>
                </c:pt>
                <c:pt idx="7">
                  <c:v>10.000000</c:v>
                </c:pt>
                <c:pt idx="8">
                  <c:v>7.000000</c:v>
                </c:pt>
                <c:pt idx="9">
                  <c:v>19.727233</c:v>
                </c:pt>
                <c:pt idx="10">
                  <c:v>41.100899</c:v>
                </c:pt>
                <c:pt idx="11">
                  <c:v>-76.516578</c:v>
                </c:pt>
                <c:pt idx="12">
                  <c:v>-162.193795</c:v>
                </c:pt>
                <c:pt idx="13">
                  <c:v>200.606382</c:v>
                </c:pt>
                <c:pt idx="14">
                  <c:v>11.469608</c:v>
                </c:pt>
                <c:pt idx="15">
                  <c:v>-241.108944</c:v>
                </c:pt>
                <c:pt idx="16">
                  <c:v>0.012099</c:v>
                </c:pt>
              </c:numCache>
            </c:numRef>
          </c:val>
        </c:ser>
        <c:ser>
          <c:idx val="7"/>
          <c:order val="7"/>
          <c:tx>
            <c:strRef>
              <c:f>'Sheet 2'!$A$13</c:f>
              <c:strCache>
                <c:ptCount val="1"/>
                <c:pt idx="0">
                  <c:v>11x11x11</c:v>
                </c:pt>
              </c:strCache>
            </c:strRef>
          </c:tx>
          <c:spPr>
            <a:solidFill>
              <a:srgbClr val="73DD4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2'!$B$2,'Sheet 2'!$C$2,'Sheet 2'!$D$2,'Sheet 2'!$E$2,'Sheet 2'!$F$2,'Sheet 2'!$G$2,'Sheet 2'!$H$2,'Sheet 2'!$I$2,'Sheet 2'!$J$2,'Sheet 2'!$K$2,'Sheet 2'!$L$2,'Sheet 2'!$M$2,'Sheet 2'!$N$2,'Sheet 2'!$O$2,'Sheet 2'!$P$2,'Sheet 2'!$Q$2,'Sheet 2'!$R$2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2'!$B$13:$R$13</c:f>
              <c:numCache>
                <c:ptCount val="17"/>
                <c:pt idx="0">
                  <c:v>56.000000</c:v>
                </c:pt>
                <c:pt idx="1">
                  <c:v>-215.245691</c:v>
                </c:pt>
                <c:pt idx="2">
                  <c:v>-215.243089</c:v>
                </c:pt>
                <c:pt idx="3">
                  <c:v>-0.002603</c:v>
                </c:pt>
                <c:pt idx="4">
                  <c:v>0.510055</c:v>
                </c:pt>
                <c:pt idx="5">
                  <c:v>22.000000</c:v>
                </c:pt>
                <c:pt idx="6">
                  <c:v>10.000000</c:v>
                </c:pt>
                <c:pt idx="7">
                  <c:v>15.000000</c:v>
                </c:pt>
                <c:pt idx="8">
                  <c:v>7.000000</c:v>
                </c:pt>
                <c:pt idx="9">
                  <c:v>19.730288</c:v>
                </c:pt>
                <c:pt idx="10">
                  <c:v>41.097988</c:v>
                </c:pt>
                <c:pt idx="11">
                  <c:v>-76.515785</c:v>
                </c:pt>
                <c:pt idx="12">
                  <c:v>-162.193795</c:v>
                </c:pt>
                <c:pt idx="13">
                  <c:v>200.600988</c:v>
                </c:pt>
                <c:pt idx="14">
                  <c:v>11.470430</c:v>
                </c:pt>
                <c:pt idx="15">
                  <c:v>-241.137254</c:v>
                </c:pt>
                <c:pt idx="16">
                  <c:v>0.005767</c:v>
                </c:pt>
              </c:numCache>
            </c:numRef>
          </c:val>
        </c:ser>
        <c:ser>
          <c:idx val="8"/>
          <c:order val="8"/>
          <c:tx>
            <c:strRef>
              <c:f>'Sheet 2'!$A$14</c:f>
              <c:strCache>
                <c:ptCount val="1"/>
                <c:pt idx="0">
                  <c:v>12x12x12</c:v>
                </c:pt>
              </c:strCache>
            </c:strRef>
          </c:tx>
          <c:spPr>
            <a:solidFill>
              <a:srgbClr val="A0A0A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2'!$B$2,'Sheet 2'!$C$2,'Sheet 2'!$D$2,'Sheet 2'!$E$2,'Sheet 2'!$F$2,'Sheet 2'!$G$2,'Sheet 2'!$H$2,'Sheet 2'!$I$2,'Sheet 2'!$J$2,'Sheet 2'!$K$2,'Sheet 2'!$L$2,'Sheet 2'!$M$2,'Sheet 2'!$N$2,'Sheet 2'!$O$2,'Sheet 2'!$P$2,'Sheet 2'!$Q$2,'Sheet 2'!$R$2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2'!$B$14:$R$14</c:f>
              <c:numCache>
                <c:ptCount val="17"/>
                <c:pt idx="0">
                  <c:v>56.000000</c:v>
                </c:pt>
                <c:pt idx="1">
                  <c:v>-215.243822</c:v>
                </c:pt>
                <c:pt idx="2">
                  <c:v>-215.241179</c:v>
                </c:pt>
                <c:pt idx="3">
                  <c:v>-0.002644</c:v>
                </c:pt>
                <c:pt idx="4">
                  <c:v>0.509904</c:v>
                </c:pt>
                <c:pt idx="5">
                  <c:v>20.000000</c:v>
                </c:pt>
                <c:pt idx="6">
                  <c:v>11.000000</c:v>
                </c:pt>
                <c:pt idx="7">
                  <c:v>15.000000</c:v>
                </c:pt>
                <c:pt idx="8">
                  <c:v>8.000000</c:v>
                </c:pt>
                <c:pt idx="9">
                  <c:v>19.731633</c:v>
                </c:pt>
                <c:pt idx="10">
                  <c:v>41.097403</c:v>
                </c:pt>
                <c:pt idx="11">
                  <c:v>-76.515682</c:v>
                </c:pt>
                <c:pt idx="12">
                  <c:v>-162.193795</c:v>
                </c:pt>
                <c:pt idx="13">
                  <c:v>200.600258</c:v>
                </c:pt>
                <c:pt idx="14">
                  <c:v>11.470787</c:v>
                </c:pt>
                <c:pt idx="15">
                  <c:v>-241.164005</c:v>
                </c:pt>
                <c:pt idx="16">
                  <c:v>0.001869</c:v>
                </c:pt>
              </c:numCache>
            </c:numRef>
          </c:val>
        </c:ser>
        <c:ser>
          <c:idx val="9"/>
          <c:order val="9"/>
          <c:tx>
            <c:strRef>
              <c:f>'Sheet 2'!$A$15</c:f>
              <c:strCache>
                <c:ptCount val="1"/>
                <c:pt idx="0">
                  <c:v>13x13x13</c:v>
                </c:pt>
              </c:strCache>
            </c:strRef>
          </c:tx>
          <c:spPr>
            <a:solidFill>
              <a:srgbClr val="F9C32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2'!$B$2,'Sheet 2'!$C$2,'Sheet 2'!$D$2,'Sheet 2'!$E$2,'Sheet 2'!$F$2,'Sheet 2'!$G$2,'Sheet 2'!$H$2,'Sheet 2'!$I$2,'Sheet 2'!$J$2,'Sheet 2'!$K$2,'Sheet 2'!$L$2,'Sheet 2'!$M$2,'Sheet 2'!$N$2,'Sheet 2'!$O$2,'Sheet 2'!$P$2,'Sheet 2'!$Q$2,'Sheet 2'!$R$2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2'!$B$15:$R$15</c:f>
              <c:numCache>
                <c:ptCount val="17"/>
                <c:pt idx="0">
                  <c:v>84.000000</c:v>
                </c:pt>
                <c:pt idx="1">
                  <c:v>-215.241373</c:v>
                </c:pt>
                <c:pt idx="2">
                  <c:v>-215.238709</c:v>
                </c:pt>
                <c:pt idx="3">
                  <c:v>-0.002665</c:v>
                </c:pt>
                <c:pt idx="4">
                  <c:v>0.509928</c:v>
                </c:pt>
                <c:pt idx="5">
                  <c:v>35.000000</c:v>
                </c:pt>
                <c:pt idx="6">
                  <c:v>14.000000</c:v>
                </c:pt>
                <c:pt idx="7">
                  <c:v>22.000000</c:v>
                </c:pt>
                <c:pt idx="8">
                  <c:v>10.000000</c:v>
                </c:pt>
                <c:pt idx="9">
                  <c:v>19.733890</c:v>
                </c:pt>
                <c:pt idx="10">
                  <c:v>41.097191</c:v>
                </c:pt>
                <c:pt idx="11">
                  <c:v>-76.515648</c:v>
                </c:pt>
                <c:pt idx="12">
                  <c:v>-162.193795</c:v>
                </c:pt>
                <c:pt idx="13">
                  <c:v>200.600463</c:v>
                </c:pt>
                <c:pt idx="14">
                  <c:v>11.471012</c:v>
                </c:pt>
                <c:pt idx="15">
                  <c:v>-241.167125</c:v>
                </c:pt>
                <c:pt idx="16">
                  <c:v>0.002449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high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50"/>
        <c:minorUnit val="7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5714"/>
          <c:y val="0.12368"/>
          <c:w val="0.791592"/>
          <c:h val="0.810337"/>
        </c:manualLayout>
      </c:layout>
      <c:lineChart>
        <c:grouping val="standard"/>
        <c:varyColors val="0"/>
        <c:ser>
          <c:idx val="0"/>
          <c:order val="0"/>
          <c:tx>
            <c:strRef>
              <c:f>'Sheet 2'!$C$2</c:f>
              <c:strCache>
                <c:ptCount val="1"/>
                <c:pt idx="0">
                  <c:v>Free Energy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2'!$A$3:$A$21</c:f>
              <c:strCache>
                <c:ptCount val="19"/>
                <c:pt idx="0">
                  <c:v>1x1x1</c:v>
                </c:pt>
                <c:pt idx="1">
                  <c:v>2x2x2</c:v>
                </c:pt>
                <c:pt idx="2">
                  <c:v>3x3x3</c:v>
                </c:pt>
                <c:pt idx="3">
                  <c:v>4x4x4</c:v>
                </c:pt>
                <c:pt idx="4">
                  <c:v>5x5x5</c:v>
                </c:pt>
                <c:pt idx="5">
                  <c:v>6x6x6</c:v>
                </c:pt>
                <c:pt idx="6">
                  <c:v>7x7x7</c:v>
                </c:pt>
                <c:pt idx="7">
                  <c:v>8x8x8</c:v>
                </c:pt>
                <c:pt idx="8">
                  <c:v>9x9x9</c:v>
                </c:pt>
                <c:pt idx="9">
                  <c:v>10x10x10</c:v>
                </c:pt>
                <c:pt idx="10">
                  <c:v>11x11x11</c:v>
                </c:pt>
                <c:pt idx="11">
                  <c:v>12x12x12</c:v>
                </c:pt>
                <c:pt idx="12">
                  <c:v>13x13x13</c:v>
                </c:pt>
                <c:pt idx="13">
                  <c:v>14x14x14</c:v>
                </c:pt>
                <c:pt idx="14">
                  <c:v>15x15x15</c:v>
                </c:pt>
                <c:pt idx="15">
                  <c:v>16x16x16</c:v>
                </c:pt>
                <c:pt idx="16">
                  <c:v>17x17x17</c:v>
                </c:pt>
                <c:pt idx="17">
                  <c:v>18x18x18</c:v>
                </c:pt>
                <c:pt idx="18">
                  <c:v>19x19x19</c:v>
                </c:pt>
              </c:strCache>
            </c:strRef>
          </c:cat>
          <c:val>
            <c:numRef>
              <c:f>'Sheet 2'!$C$3:$C$21</c:f>
              <c:numCache>
                <c:ptCount val="18"/>
                <c:pt idx="0">
                  <c:v>-217.263201</c:v>
                </c:pt>
                <c:pt idx="1">
                  <c:v>-217.475706</c:v>
                </c:pt>
                <c:pt idx="2">
                  <c:v>-218.283694</c:v>
                </c:pt>
                <c:pt idx="3">
                  <c:v>-217.657347</c:v>
                </c:pt>
                <c:pt idx="4">
                  <c:v>-216.696613</c:v>
                </c:pt>
                <c:pt idx="5">
                  <c:v>-215.825809</c:v>
                </c:pt>
                <c:pt idx="6">
                  <c:v>-215.395655</c:v>
                </c:pt>
                <c:pt idx="7">
                  <c:v>-215.297866</c:v>
                </c:pt>
                <c:pt idx="8">
                  <c:v>-215.263557</c:v>
                </c:pt>
                <c:pt idx="9">
                  <c:v>-215.251458</c:v>
                </c:pt>
                <c:pt idx="10">
                  <c:v>-215.245691</c:v>
                </c:pt>
                <c:pt idx="11">
                  <c:v>-215.243822</c:v>
                </c:pt>
                <c:pt idx="12">
                  <c:v>-215.241373</c:v>
                </c:pt>
                <c:pt idx="13">
                  <c:v>-215.897496</c:v>
                </c:pt>
                <c:pt idx="14">
                  <c:v>-215.239820</c:v>
                </c:pt>
                <c:pt idx="15">
                  <c:v>-215.895500</c:v>
                </c:pt>
                <c:pt idx="16">
                  <c:v>-215.894661</c:v>
                </c:pt>
                <c:pt idx="17">
                  <c:v>-215.894135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11842"/>
          <c:y val="0"/>
          <c:w val="0.825423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5714"/>
          <c:y val="0.12368"/>
          <c:w val="0.791592"/>
          <c:h val="0.810337"/>
        </c:manualLayout>
      </c:layout>
      <c:lineChart>
        <c:grouping val="standard"/>
        <c:varyColors val="0"/>
        <c:ser>
          <c:idx val="0"/>
          <c:order val="0"/>
          <c:tx>
            <c:strRef>
              <c:f>'Sheet 2'!$D$2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2'!$A$3:$A$21</c:f>
              <c:strCache>
                <c:ptCount val="19"/>
                <c:pt idx="0">
                  <c:v>1x1x1</c:v>
                </c:pt>
                <c:pt idx="1">
                  <c:v>2x2x2</c:v>
                </c:pt>
                <c:pt idx="2">
                  <c:v>3x3x3</c:v>
                </c:pt>
                <c:pt idx="3">
                  <c:v>4x4x4</c:v>
                </c:pt>
                <c:pt idx="4">
                  <c:v>5x5x5</c:v>
                </c:pt>
                <c:pt idx="5">
                  <c:v>6x6x6</c:v>
                </c:pt>
                <c:pt idx="6">
                  <c:v>7x7x7</c:v>
                </c:pt>
                <c:pt idx="7">
                  <c:v>8x8x8</c:v>
                </c:pt>
                <c:pt idx="8">
                  <c:v>9x9x9</c:v>
                </c:pt>
                <c:pt idx="9">
                  <c:v>10x10x10</c:v>
                </c:pt>
                <c:pt idx="10">
                  <c:v>11x11x11</c:v>
                </c:pt>
                <c:pt idx="11">
                  <c:v>12x12x12</c:v>
                </c:pt>
                <c:pt idx="12">
                  <c:v>13x13x13</c:v>
                </c:pt>
                <c:pt idx="13">
                  <c:v>14x14x14</c:v>
                </c:pt>
                <c:pt idx="14">
                  <c:v>15x15x15</c:v>
                </c:pt>
                <c:pt idx="15">
                  <c:v>16x16x16</c:v>
                </c:pt>
                <c:pt idx="16">
                  <c:v>17x17x17</c:v>
                </c:pt>
                <c:pt idx="17">
                  <c:v>18x18x18</c:v>
                </c:pt>
                <c:pt idx="18">
                  <c:v>19x19x19</c:v>
                </c:pt>
              </c:strCache>
            </c:strRef>
          </c:cat>
          <c:val>
            <c:numRef>
              <c:f>'Sheet 2'!$D$3:$D$21</c:f>
              <c:numCache>
                <c:ptCount val="18"/>
                <c:pt idx="0">
                  <c:v>-217.256150</c:v>
                </c:pt>
                <c:pt idx="1">
                  <c:v>-217.456610</c:v>
                </c:pt>
                <c:pt idx="2">
                  <c:v>-218.276703</c:v>
                </c:pt>
                <c:pt idx="3">
                  <c:v>-217.650575</c:v>
                </c:pt>
                <c:pt idx="4">
                  <c:v>-216.691644</c:v>
                </c:pt>
                <c:pt idx="5">
                  <c:v>-215.822436</c:v>
                </c:pt>
                <c:pt idx="6">
                  <c:v>-215.393098</c:v>
                </c:pt>
                <c:pt idx="7">
                  <c:v>-215.295304</c:v>
                </c:pt>
                <c:pt idx="8">
                  <c:v>-215.261084</c:v>
                </c:pt>
                <c:pt idx="9">
                  <c:v>-215.248967</c:v>
                </c:pt>
                <c:pt idx="10">
                  <c:v>-215.243089</c:v>
                </c:pt>
                <c:pt idx="11">
                  <c:v>-215.241179</c:v>
                </c:pt>
                <c:pt idx="12">
                  <c:v>-215.238709</c:v>
                </c:pt>
                <c:pt idx="13">
                  <c:v>-215.894862</c:v>
                </c:pt>
                <c:pt idx="14">
                  <c:v>-215.237145</c:v>
                </c:pt>
                <c:pt idx="15">
                  <c:v>-215.892868</c:v>
                </c:pt>
                <c:pt idx="16">
                  <c:v>-215.892010</c:v>
                </c:pt>
                <c:pt idx="17">
                  <c:v>-215.891488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11842"/>
          <c:y val="0"/>
          <c:w val="0.825423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3422"/>
          <c:y val="0.12368"/>
          <c:w val="0.860595"/>
          <c:h val="0.810337"/>
        </c:manualLayout>
      </c:layout>
      <c:lineChart>
        <c:grouping val="standard"/>
        <c:varyColors val="0"/>
        <c:ser>
          <c:idx val="0"/>
          <c:order val="0"/>
          <c:tx>
            <c:strRef>
              <c:f>'Sheet 2'!$F$2</c:f>
              <c:strCache>
                <c:ptCount val="1"/>
                <c:pt idx="0">
                  <c:v>EF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2'!$A$3:$A$14</c:f>
              <c:strCache>
                <c:ptCount val="12"/>
                <c:pt idx="0">
                  <c:v>1x1x1</c:v>
                </c:pt>
                <c:pt idx="1">
                  <c:v>2x2x2</c:v>
                </c:pt>
                <c:pt idx="2">
                  <c:v>3x3x3</c:v>
                </c:pt>
                <c:pt idx="3">
                  <c:v>4x4x4</c:v>
                </c:pt>
                <c:pt idx="4">
                  <c:v>5x5x5</c:v>
                </c:pt>
                <c:pt idx="5">
                  <c:v>6x6x6</c:v>
                </c:pt>
                <c:pt idx="6">
                  <c:v>7x7x7</c:v>
                </c:pt>
                <c:pt idx="7">
                  <c:v>8x8x8</c:v>
                </c:pt>
                <c:pt idx="8">
                  <c:v>9x9x9</c:v>
                </c:pt>
                <c:pt idx="9">
                  <c:v>10x10x10</c:v>
                </c:pt>
                <c:pt idx="10">
                  <c:v>11x11x11</c:v>
                </c:pt>
                <c:pt idx="11">
                  <c:v>12x12x12</c:v>
                </c:pt>
              </c:strCache>
            </c:strRef>
          </c:cat>
          <c:val>
            <c:numRef>
              <c:f>'Sheet 2'!$F$3:$F$14</c:f>
              <c:numCache>
                <c:ptCount val="12"/>
                <c:pt idx="0">
                  <c:v>0.554274</c:v>
                </c:pt>
                <c:pt idx="1">
                  <c:v>0.537437</c:v>
                </c:pt>
                <c:pt idx="2">
                  <c:v>0.513882</c:v>
                </c:pt>
                <c:pt idx="3">
                  <c:v>0.508211</c:v>
                </c:pt>
                <c:pt idx="4">
                  <c:v>0.504961</c:v>
                </c:pt>
                <c:pt idx="5">
                  <c:v>0.504846</c:v>
                </c:pt>
                <c:pt idx="6">
                  <c:v>0.507377</c:v>
                </c:pt>
                <c:pt idx="7">
                  <c:v>0.508595</c:v>
                </c:pt>
                <c:pt idx="8">
                  <c:v>0.509294</c:v>
                </c:pt>
                <c:pt idx="9">
                  <c:v>0.510048</c:v>
                </c:pt>
                <c:pt idx="10">
                  <c:v>0.510055</c:v>
                </c:pt>
                <c:pt idx="11">
                  <c:v>0.509904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  <c:majorUnit val="0.0175"/>
        <c:minorUnit val="0.0087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913266"/>
          <c:y val="0"/>
          <c:w val="0.897375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view3D>
      <c:rotX val="30"/>
      <c:hPercent val="61"/>
      <c:rotY val="321"/>
      <c:depthPercent val="66"/>
      <c:rAngAx val="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005"/>
          <c:y val="0.0947471"/>
          <c:w val="0.984173"/>
          <c:h val="0.892753"/>
        </c:manualLayout>
      </c:layout>
      <c:line3DChart>
        <c:grouping val="standard"/>
        <c:varyColors val="0"/>
        <c:ser>
          <c:idx val="0"/>
          <c:order val="0"/>
          <c:tx>
            <c:strRef>
              <c:f>'Sheet 2'!$A$6</c:f>
              <c:strCache>
                <c:ptCount val="1"/>
                <c:pt idx="0">
                  <c:v>4x4x4</c:v>
                </c:pt>
              </c:strCache>
            </c:strRef>
          </c:tx>
          <c:spPr>
            <a:solidFill>
              <a:schemeClr val="accent1"/>
            </a:solidFill>
            <a:effectLst>
              <a:outerShdw sx="100000" sy="100000" kx="0" ky="0" algn="tl" rotWithShape="1" blurRad="63500" dist="38100" dir="7800000">
                <a:srgbClr val="000000">
                  <a:alpha val="50000"/>
                </a:srgbClr>
              </a:outerShdw>
            </a:effectLst>
            <a:sp3d prstMaterial="matte"/>
          </c:spPr>
          <c:marker>
            <c:symbol val="circle"/>
            <c:size val="5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2'!$B$6:$R$6</c:f>
              <c:numCache>
                <c:ptCount val="17"/>
                <c:pt idx="0">
                  <c:v>4.000000</c:v>
                </c:pt>
                <c:pt idx="1">
                  <c:v>-217.657347</c:v>
                </c:pt>
                <c:pt idx="2">
                  <c:v>-217.650575</c:v>
                </c:pt>
                <c:pt idx="3">
                  <c:v>-0.006772</c:v>
                </c:pt>
                <c:pt idx="4">
                  <c:v>0.508211</c:v>
                </c:pt>
                <c:pt idx="5">
                  <c:v>2.000000</c:v>
                </c:pt>
                <c:pt idx="6">
                  <c:v>0.000000</c:v>
                </c:pt>
                <c:pt idx="7">
                  <c:v>1.000000</c:v>
                </c:pt>
                <c:pt idx="8">
                  <c:v>1.000000</c:v>
                </c:pt>
                <c:pt idx="9">
                  <c:v>17.325138</c:v>
                </c:pt>
                <c:pt idx="10">
                  <c:v>41.100161</c:v>
                </c:pt>
                <c:pt idx="11">
                  <c:v>-76.515980</c:v>
                </c:pt>
                <c:pt idx="12">
                  <c:v>-162.193795</c:v>
                </c:pt>
                <c:pt idx="13">
                  <c:v>200.609460</c:v>
                </c:pt>
                <c:pt idx="14">
                  <c:v>11.468787</c:v>
                </c:pt>
                <c:pt idx="15">
                  <c:v>-228.308319</c:v>
                </c:pt>
                <c:pt idx="16">
                  <c:v>0.626346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 2'!$A$7</c:f>
              <c:strCache>
                <c:ptCount val="1"/>
                <c:pt idx="0">
                  <c:v>5x5x5</c:v>
                </c:pt>
              </c:strCache>
            </c:strRef>
          </c:tx>
          <c:spPr>
            <a:solidFill>
              <a:schemeClr val="accent3"/>
            </a:solidFill>
            <a:effectLst>
              <a:outerShdw sx="100000" sy="100000" kx="0" ky="0" algn="tl" rotWithShape="1" blurRad="63500" dist="38100" dir="7800000">
                <a:srgbClr val="000000">
                  <a:alpha val="50000"/>
                </a:srgbClr>
              </a:outerShdw>
            </a:effectLst>
            <a:sp3d prstMaterial="matte"/>
          </c:spPr>
          <c:marker>
            <c:symbol val="circle"/>
            <c:size val="5"/>
            <c:spPr>
              <a:solidFill>
                <a:srgbClr val="FFFFFF"/>
              </a:solidFill>
              <a:ln w="50800" cap="flat">
                <a:solidFill>
                  <a:schemeClr val="accent3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2'!$B$7:$R$7</c:f>
              <c:numCache>
                <c:ptCount val="17"/>
                <c:pt idx="0">
                  <c:v>10.000000</c:v>
                </c:pt>
                <c:pt idx="1">
                  <c:v>-216.696613</c:v>
                </c:pt>
                <c:pt idx="2">
                  <c:v>-216.691644</c:v>
                </c:pt>
                <c:pt idx="3">
                  <c:v>-0.004969</c:v>
                </c:pt>
                <c:pt idx="4">
                  <c:v>0.504961</c:v>
                </c:pt>
                <c:pt idx="5">
                  <c:v>5.000000</c:v>
                </c:pt>
                <c:pt idx="6">
                  <c:v>1.000000</c:v>
                </c:pt>
                <c:pt idx="7">
                  <c:v>3.000000</c:v>
                </c:pt>
                <c:pt idx="8">
                  <c:v>1.000000</c:v>
                </c:pt>
                <c:pt idx="9">
                  <c:v>18.266020</c:v>
                </c:pt>
                <c:pt idx="10">
                  <c:v>41.081566</c:v>
                </c:pt>
                <c:pt idx="11">
                  <c:v>-76.511584</c:v>
                </c:pt>
                <c:pt idx="12">
                  <c:v>-162.193795</c:v>
                </c:pt>
                <c:pt idx="13">
                  <c:v>200.580659</c:v>
                </c:pt>
                <c:pt idx="14">
                  <c:v>11.477367</c:v>
                </c:pt>
                <c:pt idx="15">
                  <c:v>-233.448352</c:v>
                </c:pt>
                <c:pt idx="16">
                  <c:v>0.960734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'Sheet 2'!$A$8</c:f>
              <c:strCache>
                <c:ptCount val="1"/>
                <c:pt idx="0">
                  <c:v>6x6x6</c:v>
                </c:pt>
              </c:strCache>
            </c:strRef>
          </c:tx>
          <c:spPr>
            <a:solidFill>
              <a:srgbClr val="929292"/>
            </a:solidFill>
            <a:effectLst>
              <a:outerShdw sx="100000" sy="100000" kx="0" ky="0" algn="tl" rotWithShape="1" blurRad="63500" dist="38100" dir="7800000">
                <a:srgbClr val="000000">
                  <a:alpha val="50000"/>
                </a:srgbClr>
              </a:outerShdw>
            </a:effectLst>
            <a:sp3d prstMaterial="matte"/>
          </c:spPr>
          <c:marker>
            <c:symbol val="circle"/>
            <c:size val="5"/>
            <c:spPr>
              <a:solidFill>
                <a:srgbClr val="FFFFFF"/>
              </a:solidFill>
              <a:ln w="50800" cap="flat">
                <a:solidFill>
                  <a:srgbClr val="929292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2'!$B$8:$R$8</c:f>
              <c:numCache>
                <c:ptCount val="17"/>
                <c:pt idx="0">
                  <c:v>10.000000</c:v>
                </c:pt>
                <c:pt idx="1">
                  <c:v>-215.825809</c:v>
                </c:pt>
                <c:pt idx="2">
                  <c:v>-215.822436</c:v>
                </c:pt>
                <c:pt idx="3">
                  <c:v>-0.003373</c:v>
                </c:pt>
                <c:pt idx="4">
                  <c:v>0.504846</c:v>
                </c:pt>
                <c:pt idx="5">
                  <c:v>4.000000</c:v>
                </c:pt>
                <c:pt idx="6">
                  <c:v>2.000000</c:v>
                </c:pt>
                <c:pt idx="7">
                  <c:v>3.000000</c:v>
                </c:pt>
                <c:pt idx="8">
                  <c:v>1.000000</c:v>
                </c:pt>
                <c:pt idx="9">
                  <c:v>19.132457</c:v>
                </c:pt>
                <c:pt idx="10">
                  <c:v>41.078902</c:v>
                </c:pt>
                <c:pt idx="11">
                  <c:v>-76.511044</c:v>
                </c:pt>
                <c:pt idx="12">
                  <c:v>-162.193795</c:v>
                </c:pt>
                <c:pt idx="13">
                  <c:v>200.573362</c:v>
                </c:pt>
                <c:pt idx="14">
                  <c:v>11.478611</c:v>
                </c:pt>
                <c:pt idx="15">
                  <c:v>-238.148833</c:v>
                </c:pt>
                <c:pt idx="16">
                  <c:v>0.870804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'Sheet 2'!$A$9</c:f>
              <c:strCache>
                <c:ptCount val="1"/>
                <c:pt idx="0">
                  <c:v>7x7x7</c:v>
                </c:pt>
              </c:strCache>
            </c:strRef>
          </c:tx>
          <c:spPr>
            <a:solidFill>
              <a:srgbClr val="F8BA00"/>
            </a:solidFill>
            <a:effectLst>
              <a:outerShdw sx="100000" sy="100000" kx="0" ky="0" algn="tl" rotWithShape="1" blurRad="63500" dist="38100" dir="7800000">
                <a:srgbClr val="000000">
                  <a:alpha val="50000"/>
                </a:srgbClr>
              </a:outerShdw>
            </a:effectLst>
            <a:sp3d prstMaterial="matte"/>
          </c:spPr>
          <c:marker>
            <c:symbol val="circle"/>
            <c:size val="5"/>
            <c:spPr>
              <a:solidFill>
                <a:srgbClr val="FFFFFF"/>
              </a:solidFill>
              <a:ln w="50800" cap="flat">
                <a:solidFill>
                  <a:srgbClr val="F8BA00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2'!$B$9:$R$9</c:f>
              <c:numCache>
                <c:ptCount val="17"/>
                <c:pt idx="0">
                  <c:v>20.000000</c:v>
                </c:pt>
                <c:pt idx="1">
                  <c:v>-215.395655</c:v>
                </c:pt>
                <c:pt idx="2">
                  <c:v>-215.393098</c:v>
                </c:pt>
                <c:pt idx="3">
                  <c:v>-0.002557</c:v>
                </c:pt>
                <c:pt idx="4">
                  <c:v>0.507377</c:v>
                </c:pt>
                <c:pt idx="5">
                  <c:v>8.000000</c:v>
                </c:pt>
                <c:pt idx="6">
                  <c:v>4.000000</c:v>
                </c:pt>
                <c:pt idx="7">
                  <c:v>5.000000</c:v>
                </c:pt>
                <c:pt idx="8">
                  <c:v>3.000000</c:v>
                </c:pt>
                <c:pt idx="9">
                  <c:v>19.576477</c:v>
                </c:pt>
                <c:pt idx="10">
                  <c:v>41.094050</c:v>
                </c:pt>
                <c:pt idx="11">
                  <c:v>-76.514940</c:v>
                </c:pt>
                <c:pt idx="12">
                  <c:v>-162.193795</c:v>
                </c:pt>
                <c:pt idx="13">
                  <c:v>200.598466</c:v>
                </c:pt>
                <c:pt idx="14">
                  <c:v>11.473166</c:v>
                </c:pt>
                <c:pt idx="15">
                  <c:v>-240.336905</c:v>
                </c:pt>
                <c:pt idx="16">
                  <c:v>0.430154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'Sheet 2'!$A$10</c:f>
              <c:strCache>
                <c:ptCount val="1"/>
                <c:pt idx="0">
                  <c:v>8x8x8</c:v>
                </c:pt>
              </c:strCache>
            </c:strRef>
          </c:tx>
          <c:spPr>
            <a:solidFill>
              <a:srgbClr val="FF2600"/>
            </a:solidFill>
            <a:effectLst>
              <a:outerShdw sx="100000" sy="100000" kx="0" ky="0" algn="tl" rotWithShape="1" blurRad="63500" dist="38100" dir="7800000">
                <a:srgbClr val="000000">
                  <a:alpha val="50000"/>
                </a:srgbClr>
              </a:outerShdw>
            </a:effectLst>
            <a:sp3d prstMaterial="matte"/>
          </c:spPr>
          <c:marker>
            <c:symbol val="circle"/>
            <c:size val="5"/>
            <c:spPr>
              <a:solidFill>
                <a:srgbClr val="FFFFFF"/>
              </a:solidFill>
              <a:ln w="50800" cap="flat">
                <a:solidFill>
                  <a:srgbClr val="FF2600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2'!$B$10:$R$10</c:f>
              <c:numCache>
                <c:ptCount val="17"/>
                <c:pt idx="0">
                  <c:v>20.000000</c:v>
                </c:pt>
                <c:pt idx="1">
                  <c:v>-215.297866</c:v>
                </c:pt>
                <c:pt idx="2">
                  <c:v>-215.295304</c:v>
                </c:pt>
                <c:pt idx="3">
                  <c:v>-0.002562</c:v>
                </c:pt>
                <c:pt idx="4">
                  <c:v>0.508595</c:v>
                </c:pt>
                <c:pt idx="5">
                  <c:v>8.000000</c:v>
                </c:pt>
                <c:pt idx="6">
                  <c:v>4.000000</c:v>
                </c:pt>
                <c:pt idx="7">
                  <c:v>3.000000</c:v>
                </c:pt>
                <c:pt idx="8">
                  <c:v>5.000000</c:v>
                </c:pt>
                <c:pt idx="9">
                  <c:v>19.675393</c:v>
                </c:pt>
                <c:pt idx="10">
                  <c:v>41.095150</c:v>
                </c:pt>
                <c:pt idx="11">
                  <c:v>-76.515117</c:v>
                </c:pt>
                <c:pt idx="12">
                  <c:v>-162.193795</c:v>
                </c:pt>
                <c:pt idx="13">
                  <c:v>200.597266</c:v>
                </c:pt>
                <c:pt idx="14">
                  <c:v>11.471896</c:v>
                </c:pt>
                <c:pt idx="15">
                  <c:v>-240.899481</c:v>
                </c:pt>
                <c:pt idx="16">
                  <c:v>0.097789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'Sheet 2'!$A$11</c:f>
              <c:strCache>
                <c:ptCount val="1"/>
                <c:pt idx="0">
                  <c:v>9x9x9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effectLst>
              <a:outerShdw sx="100000" sy="100000" kx="0" ky="0" algn="tl" rotWithShape="1" blurRad="63500" dist="38100" dir="7800000">
                <a:srgbClr val="000000">
                  <a:alpha val="50000"/>
                </a:srgbClr>
              </a:outerShdw>
            </a:effectLst>
            <a:sp3d prstMaterial="matte"/>
          </c:spPr>
          <c:marker>
            <c:symbol val="circle"/>
            <c:size val="5"/>
            <c:spPr>
              <a:solidFill>
                <a:srgbClr val="FFFFFF"/>
              </a:solidFill>
              <a:ln w="50800" cap="flat">
                <a:solidFill>
                  <a:schemeClr val="accent6">
                    <a:satOff val="-20754"/>
                    <a:lumOff val="-16738"/>
                  </a:schemeClr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2'!$B$11:$R$11</c:f>
              <c:numCache>
                <c:ptCount val="17"/>
                <c:pt idx="0">
                  <c:v>35.000000</c:v>
                </c:pt>
                <c:pt idx="1">
                  <c:v>-215.263557</c:v>
                </c:pt>
                <c:pt idx="2">
                  <c:v>-215.261084</c:v>
                </c:pt>
                <c:pt idx="3">
                  <c:v>-0.002474</c:v>
                </c:pt>
                <c:pt idx="4">
                  <c:v>0.509294</c:v>
                </c:pt>
                <c:pt idx="5">
                  <c:v>13.000000</c:v>
                </c:pt>
                <c:pt idx="6">
                  <c:v>10.000000</c:v>
                </c:pt>
                <c:pt idx="7">
                  <c:v>5.000000</c:v>
                </c:pt>
                <c:pt idx="8">
                  <c:v>7.000000</c:v>
                </c:pt>
                <c:pt idx="9">
                  <c:v>19.710605</c:v>
                </c:pt>
                <c:pt idx="10">
                  <c:v>41.096281</c:v>
                </c:pt>
                <c:pt idx="11">
                  <c:v>-76.515257</c:v>
                </c:pt>
                <c:pt idx="12">
                  <c:v>-162.193795</c:v>
                </c:pt>
                <c:pt idx="13">
                  <c:v>200.596969</c:v>
                </c:pt>
                <c:pt idx="14">
                  <c:v>11.470719</c:v>
                </c:pt>
                <c:pt idx="15">
                  <c:v>-241.036547</c:v>
                </c:pt>
                <c:pt idx="16">
                  <c:v>0.034309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'Sheet 2'!$A$12</c:f>
              <c:strCache>
                <c:ptCount val="1"/>
                <c:pt idx="0">
                  <c:v>10x10x10</c:v>
                </c:pt>
              </c:strCache>
            </c:strRef>
          </c:tx>
          <c:spPr>
            <a:solidFill>
              <a:srgbClr val="22AEFF"/>
            </a:solidFill>
            <a:effectLst>
              <a:outerShdw sx="100000" sy="100000" kx="0" ky="0" algn="tl" rotWithShape="1" blurRad="63500" dist="38100" dir="7800000">
                <a:srgbClr val="000000">
                  <a:alpha val="50000"/>
                </a:srgbClr>
              </a:outerShdw>
            </a:effectLst>
            <a:sp3d prstMaterial="matte"/>
          </c:spPr>
          <c:marker>
            <c:symbol val="circle"/>
            <c:size val="5"/>
            <c:spPr>
              <a:solidFill>
                <a:srgbClr val="FFFFFF"/>
              </a:solidFill>
              <a:ln w="50800" cap="flat">
                <a:solidFill>
                  <a:srgbClr val="22AEFF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2'!$B$12:$R$12</c:f>
              <c:numCache>
                <c:ptCount val="17"/>
                <c:pt idx="0">
                  <c:v>35.000000</c:v>
                </c:pt>
                <c:pt idx="1">
                  <c:v>-215.251458</c:v>
                </c:pt>
                <c:pt idx="2">
                  <c:v>-215.248967</c:v>
                </c:pt>
                <c:pt idx="3">
                  <c:v>-0.002491</c:v>
                </c:pt>
                <c:pt idx="4">
                  <c:v>0.510048</c:v>
                </c:pt>
                <c:pt idx="5">
                  <c:v>12.000000</c:v>
                </c:pt>
                <c:pt idx="6">
                  <c:v>6.000000</c:v>
                </c:pt>
                <c:pt idx="7">
                  <c:v>10.000000</c:v>
                </c:pt>
                <c:pt idx="8">
                  <c:v>7.000000</c:v>
                </c:pt>
                <c:pt idx="9">
                  <c:v>19.727233</c:v>
                </c:pt>
                <c:pt idx="10">
                  <c:v>41.100899</c:v>
                </c:pt>
                <c:pt idx="11">
                  <c:v>-76.516578</c:v>
                </c:pt>
                <c:pt idx="12">
                  <c:v>-162.193795</c:v>
                </c:pt>
                <c:pt idx="13">
                  <c:v>200.606382</c:v>
                </c:pt>
                <c:pt idx="14">
                  <c:v>11.469608</c:v>
                </c:pt>
                <c:pt idx="15">
                  <c:v>-241.108944</c:v>
                </c:pt>
                <c:pt idx="16">
                  <c:v>0.012099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'Sheet 2'!$A$13</c:f>
              <c:strCache>
                <c:ptCount val="1"/>
                <c:pt idx="0">
                  <c:v>11x11x11</c:v>
                </c:pt>
              </c:strCache>
            </c:strRef>
          </c:tx>
          <c:spPr>
            <a:solidFill>
              <a:srgbClr val="73DD4E"/>
            </a:solidFill>
            <a:effectLst>
              <a:outerShdw sx="100000" sy="100000" kx="0" ky="0" algn="tl" rotWithShape="1" blurRad="63500" dist="38100" dir="7800000">
                <a:srgbClr val="000000">
                  <a:alpha val="50000"/>
                </a:srgbClr>
              </a:outerShdw>
            </a:effectLst>
            <a:sp3d prstMaterial="matte"/>
          </c:spPr>
          <c:marker>
            <c:symbol val="circle"/>
            <c:size val="5"/>
            <c:spPr>
              <a:solidFill>
                <a:srgbClr val="FFFFFF"/>
              </a:solidFill>
              <a:ln w="50800" cap="flat">
                <a:solidFill>
                  <a:srgbClr val="73DD4E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2'!$B$13:$R$13</c:f>
              <c:numCache>
                <c:ptCount val="17"/>
                <c:pt idx="0">
                  <c:v>56.000000</c:v>
                </c:pt>
                <c:pt idx="1">
                  <c:v>-215.245691</c:v>
                </c:pt>
                <c:pt idx="2">
                  <c:v>-215.243089</c:v>
                </c:pt>
                <c:pt idx="3">
                  <c:v>-0.002603</c:v>
                </c:pt>
                <c:pt idx="4">
                  <c:v>0.510055</c:v>
                </c:pt>
                <c:pt idx="5">
                  <c:v>22.000000</c:v>
                </c:pt>
                <c:pt idx="6">
                  <c:v>10.000000</c:v>
                </c:pt>
                <c:pt idx="7">
                  <c:v>15.000000</c:v>
                </c:pt>
                <c:pt idx="8">
                  <c:v>7.000000</c:v>
                </c:pt>
                <c:pt idx="9">
                  <c:v>19.730288</c:v>
                </c:pt>
                <c:pt idx="10">
                  <c:v>41.097988</c:v>
                </c:pt>
                <c:pt idx="11">
                  <c:v>-76.515785</c:v>
                </c:pt>
                <c:pt idx="12">
                  <c:v>-162.193795</c:v>
                </c:pt>
                <c:pt idx="13">
                  <c:v>200.600988</c:v>
                </c:pt>
                <c:pt idx="14">
                  <c:v>11.470430</c:v>
                </c:pt>
                <c:pt idx="15">
                  <c:v>-241.137254</c:v>
                </c:pt>
                <c:pt idx="16">
                  <c:v>0.005767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'Sheet 2'!$A$14</c:f>
              <c:strCache>
                <c:ptCount val="1"/>
                <c:pt idx="0">
                  <c:v>12x12x12</c:v>
                </c:pt>
              </c:strCache>
            </c:strRef>
          </c:tx>
          <c:spPr>
            <a:solidFill>
              <a:srgbClr val="A0A0A0"/>
            </a:solidFill>
            <a:effectLst>
              <a:outerShdw sx="100000" sy="100000" kx="0" ky="0" algn="tl" rotWithShape="1" blurRad="63500" dist="38100" dir="7800000">
                <a:srgbClr val="000000">
                  <a:alpha val="50000"/>
                </a:srgbClr>
              </a:outerShdw>
            </a:effectLst>
            <a:sp3d prstMaterial="matte"/>
          </c:spPr>
          <c:marker>
            <c:symbol val="circle"/>
            <c:size val="5"/>
            <c:spPr>
              <a:solidFill>
                <a:srgbClr val="FFFFFF"/>
              </a:solidFill>
              <a:ln w="50800" cap="flat">
                <a:solidFill>
                  <a:srgbClr val="A0A0A0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2'!$B$14:$R$14</c:f>
              <c:numCache>
                <c:ptCount val="17"/>
                <c:pt idx="0">
                  <c:v>56.000000</c:v>
                </c:pt>
                <c:pt idx="1">
                  <c:v>-215.243822</c:v>
                </c:pt>
                <c:pt idx="2">
                  <c:v>-215.241179</c:v>
                </c:pt>
                <c:pt idx="3">
                  <c:v>-0.002644</c:v>
                </c:pt>
                <c:pt idx="4">
                  <c:v>0.509904</c:v>
                </c:pt>
                <c:pt idx="5">
                  <c:v>20.000000</c:v>
                </c:pt>
                <c:pt idx="6">
                  <c:v>11.000000</c:v>
                </c:pt>
                <c:pt idx="7">
                  <c:v>15.000000</c:v>
                </c:pt>
                <c:pt idx="8">
                  <c:v>8.000000</c:v>
                </c:pt>
                <c:pt idx="9">
                  <c:v>19.731633</c:v>
                </c:pt>
                <c:pt idx="10">
                  <c:v>41.097403</c:v>
                </c:pt>
                <c:pt idx="11">
                  <c:v>-76.515682</c:v>
                </c:pt>
                <c:pt idx="12">
                  <c:v>-162.193795</c:v>
                </c:pt>
                <c:pt idx="13">
                  <c:v>200.600258</c:v>
                </c:pt>
                <c:pt idx="14">
                  <c:v>11.470787</c:v>
                </c:pt>
                <c:pt idx="15">
                  <c:v>-241.164005</c:v>
                </c:pt>
                <c:pt idx="16">
                  <c:v>0.001869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'Sheet 2'!$A$15</c:f>
              <c:strCache>
                <c:ptCount val="1"/>
                <c:pt idx="0">
                  <c:v>13x13x13</c:v>
                </c:pt>
              </c:strCache>
            </c:strRef>
          </c:tx>
          <c:spPr>
            <a:solidFill>
              <a:srgbClr val="F9C321"/>
            </a:solidFill>
            <a:effectLst>
              <a:outerShdw sx="100000" sy="100000" kx="0" ky="0" algn="tl" rotWithShape="1" blurRad="63500" dist="38100" dir="7800000">
                <a:srgbClr val="000000">
                  <a:alpha val="50000"/>
                </a:srgbClr>
              </a:outerShdw>
            </a:effectLst>
            <a:sp3d prstMaterial="matte"/>
          </c:spPr>
          <c:marker>
            <c:symbol val="circle"/>
            <c:size val="5"/>
            <c:spPr>
              <a:solidFill>
                <a:srgbClr val="FFFFFF"/>
              </a:solidFill>
              <a:ln w="50800" cap="flat">
                <a:solidFill>
                  <a:srgbClr val="F9C32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2'!$B$2:$R$2</c:f>
              <c:strCache>
                <c:ptCount val="17"/>
                <c:pt idx="0">
                  <c:v>Kpoints reduced</c:v>
                </c:pt>
                <c:pt idx="1">
                  <c:v>Free Energy</c:v>
                </c:pt>
                <c:pt idx="2">
                  <c:v>Energy</c:v>
                </c:pt>
                <c:pt idx="3">
                  <c:v>Smear energy</c:v>
                </c:pt>
                <c:pt idx="4">
                  <c:v>EF</c:v>
                </c:pt>
                <c:pt idx="5">
                  <c:v>EF crossings 0</c:v>
                </c:pt>
                <c:pt idx="6">
                  <c:v>EF crossings 1</c:v>
                </c:pt>
                <c:pt idx="7">
                  <c:v>EF crossings 2</c:v>
                </c:pt>
                <c:pt idx="8">
                  <c:v>EF crossings 3</c:v>
                </c:pt>
                <c:pt idx="9">
                  <c:v>Orbital energy</c:v>
                </c:pt>
                <c:pt idx="10">
                  <c:v>Hartree energy</c:v>
                </c:pt>
                <c:pt idx="11">
                  <c:v>Exc energy</c:v>
                </c:pt>
                <c:pt idx="12">
                  <c:v>Ion-ion energy</c:v>
                </c:pt>
                <c:pt idx="13">
                  <c:v>Kinetic</c:v>
                </c:pt>
                <c:pt idx="14">
                  <c:v>Vlocal</c:v>
                </c:pt>
                <c:pt idx="15">
                  <c:v>Vnonlocal</c:v>
                </c:pt>
                <c:pt idx="16">
                  <c:v>Delta F</c:v>
                </c:pt>
              </c:strCache>
            </c:strRef>
          </c:cat>
          <c:val>
            <c:numRef>
              <c:f>'Sheet 2'!$B$15:$R$15</c:f>
              <c:numCache>
                <c:ptCount val="17"/>
                <c:pt idx="0">
                  <c:v>84.000000</c:v>
                </c:pt>
                <c:pt idx="1">
                  <c:v>-215.241373</c:v>
                </c:pt>
                <c:pt idx="2">
                  <c:v>-215.238709</c:v>
                </c:pt>
                <c:pt idx="3">
                  <c:v>-0.002665</c:v>
                </c:pt>
                <c:pt idx="4">
                  <c:v>0.509928</c:v>
                </c:pt>
                <c:pt idx="5">
                  <c:v>35.000000</c:v>
                </c:pt>
                <c:pt idx="6">
                  <c:v>14.000000</c:v>
                </c:pt>
                <c:pt idx="7">
                  <c:v>22.000000</c:v>
                </c:pt>
                <c:pt idx="8">
                  <c:v>10.000000</c:v>
                </c:pt>
                <c:pt idx="9">
                  <c:v>19.733890</c:v>
                </c:pt>
                <c:pt idx="10">
                  <c:v>41.097191</c:v>
                </c:pt>
                <c:pt idx="11">
                  <c:v>-76.515648</c:v>
                </c:pt>
                <c:pt idx="12">
                  <c:v>-162.193795</c:v>
                </c:pt>
                <c:pt idx="13">
                  <c:v>200.600463</c:v>
                </c:pt>
                <c:pt idx="14">
                  <c:v>11.471012</c:v>
                </c:pt>
                <c:pt idx="15">
                  <c:v>-241.167125</c:v>
                </c:pt>
                <c:pt idx="16">
                  <c:v>0.002449</c:v>
                </c:pt>
              </c:numCache>
            </c:numRef>
          </c:val>
          <c:smooth val="0"/>
        </c:ser>
        <c:gapDepth val="150"/>
        <c:axId val="2094734552"/>
        <c:axId val="2094734553"/>
        <c:axId val="2094734554"/>
      </c:line3D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50"/>
        <c:minorUnit val="75"/>
      </c:valAx>
      <c:serAx>
        <c:axId val="2094734554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ln w="12700" cap="flat">
            <a:noFill/>
            <a:prstDash val="solid"/>
            <a:miter lim="400000"/>
          </a:ln>
        </c:spPr>
        <c:crossAx val="2094734553"/>
        <c:crosses val="autoZero"/>
        <c:tickLblSkip val="1"/>
      </c:ser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610529"/>
          <c:y val="0"/>
          <c:w val="0.938947"/>
          <c:h val="0.094287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21277"/>
          <c:y val="0.12368"/>
          <c:w val="0.825274"/>
          <c:h val="0.810337"/>
        </c:manualLayout>
      </c:layout>
      <c:lineChart>
        <c:grouping val="standard"/>
        <c:varyColors val="0"/>
        <c:ser>
          <c:idx val="0"/>
          <c:order val="0"/>
          <c:tx>
            <c:strRef>
              <c:f>'Sheet 2'!$E$2</c:f>
              <c:strCache>
                <c:ptCount val="1"/>
                <c:pt idx="0">
                  <c:v>Smear energy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2'!$A$3:$A$21</c:f>
              <c:strCache>
                <c:ptCount val="19"/>
                <c:pt idx="0">
                  <c:v>1x1x1</c:v>
                </c:pt>
                <c:pt idx="1">
                  <c:v>2x2x2</c:v>
                </c:pt>
                <c:pt idx="2">
                  <c:v>3x3x3</c:v>
                </c:pt>
                <c:pt idx="3">
                  <c:v>4x4x4</c:v>
                </c:pt>
                <c:pt idx="4">
                  <c:v>5x5x5</c:v>
                </c:pt>
                <c:pt idx="5">
                  <c:v>6x6x6</c:v>
                </c:pt>
                <c:pt idx="6">
                  <c:v>7x7x7</c:v>
                </c:pt>
                <c:pt idx="7">
                  <c:v>8x8x8</c:v>
                </c:pt>
                <c:pt idx="8">
                  <c:v>9x9x9</c:v>
                </c:pt>
                <c:pt idx="9">
                  <c:v>10x10x10</c:v>
                </c:pt>
                <c:pt idx="10">
                  <c:v>11x11x11</c:v>
                </c:pt>
                <c:pt idx="11">
                  <c:v>12x12x12</c:v>
                </c:pt>
                <c:pt idx="12">
                  <c:v>13x13x13</c:v>
                </c:pt>
                <c:pt idx="13">
                  <c:v>14x14x14</c:v>
                </c:pt>
                <c:pt idx="14">
                  <c:v>15x15x15</c:v>
                </c:pt>
                <c:pt idx="15">
                  <c:v>16x16x16</c:v>
                </c:pt>
                <c:pt idx="16">
                  <c:v>17x17x17</c:v>
                </c:pt>
                <c:pt idx="17">
                  <c:v>18x18x18</c:v>
                </c:pt>
                <c:pt idx="18">
                  <c:v>19x19x19</c:v>
                </c:pt>
              </c:strCache>
            </c:strRef>
          </c:cat>
          <c:val>
            <c:numRef>
              <c:f>'Sheet 2'!$E$3:$E$21</c:f>
              <c:numCache>
                <c:ptCount val="18"/>
                <c:pt idx="0">
                  <c:v>-0.007051</c:v>
                </c:pt>
                <c:pt idx="1">
                  <c:v>-0.019095</c:v>
                </c:pt>
                <c:pt idx="2">
                  <c:v>-0.006991</c:v>
                </c:pt>
                <c:pt idx="3">
                  <c:v>-0.006772</c:v>
                </c:pt>
                <c:pt idx="4">
                  <c:v>-0.004969</c:v>
                </c:pt>
                <c:pt idx="5">
                  <c:v>-0.003373</c:v>
                </c:pt>
                <c:pt idx="6">
                  <c:v>-0.002557</c:v>
                </c:pt>
                <c:pt idx="7">
                  <c:v>-0.002562</c:v>
                </c:pt>
                <c:pt idx="8">
                  <c:v>-0.002474</c:v>
                </c:pt>
                <c:pt idx="9">
                  <c:v>-0.002491</c:v>
                </c:pt>
                <c:pt idx="10">
                  <c:v>-0.002603</c:v>
                </c:pt>
                <c:pt idx="11">
                  <c:v>-0.002644</c:v>
                </c:pt>
                <c:pt idx="12">
                  <c:v>-0.002665</c:v>
                </c:pt>
                <c:pt idx="13">
                  <c:v>-0.002635</c:v>
                </c:pt>
                <c:pt idx="14">
                  <c:v>-0.002675</c:v>
                </c:pt>
                <c:pt idx="15">
                  <c:v>-0.002632</c:v>
                </c:pt>
                <c:pt idx="16">
                  <c:v>-0.002651</c:v>
                </c:pt>
                <c:pt idx="17">
                  <c:v>-0.002648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0E+00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  <c:majorUnit val="0.005"/>
        <c:minorUnit val="0.00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809091"/>
          <c:y val="0"/>
          <c:w val="0.860544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22</xdr:row>
      <xdr:rowOff>196157</xdr:rowOff>
    </xdr:from>
    <xdr:to>
      <xdr:col>4</xdr:col>
      <xdr:colOff>101600</xdr:colOff>
      <xdr:row>35</xdr:row>
      <xdr:rowOff>85032</xdr:rowOff>
    </xdr:to>
    <xdr:graphicFrame>
      <xdr:nvGraphicFramePr>
        <xdr:cNvPr id="2" name="Interactive Column Chart"/>
        <xdr:cNvGraphicFramePr/>
      </xdr:nvGraphicFramePr>
      <xdr:xfrm>
        <a:off x="-127000" y="8868352"/>
        <a:ext cx="5080000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4</xdr:col>
      <xdr:colOff>520700</xdr:colOff>
      <xdr:row>23</xdr:row>
      <xdr:rowOff>43376</xdr:rowOff>
    </xdr:from>
    <xdr:to>
      <xdr:col>8</xdr:col>
      <xdr:colOff>622300</xdr:colOff>
      <xdr:row>35</xdr:row>
      <xdr:rowOff>233876</xdr:rowOff>
    </xdr:to>
    <xdr:graphicFrame>
      <xdr:nvGraphicFramePr>
        <xdr:cNvPr id="3" name="Interactive Bar Chart"/>
        <xdr:cNvGraphicFramePr/>
      </xdr:nvGraphicFramePr>
      <xdr:xfrm>
        <a:off x="5499100" y="9017196"/>
        <a:ext cx="5080001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40</xdr:row>
      <xdr:rowOff>247920</xdr:rowOff>
    </xdr:from>
    <xdr:to>
      <xdr:col>4</xdr:col>
      <xdr:colOff>560578</xdr:colOff>
      <xdr:row>53</xdr:row>
      <xdr:rowOff>136795</xdr:rowOff>
    </xdr:to>
    <xdr:graphicFrame>
      <xdr:nvGraphicFramePr>
        <xdr:cNvPr id="4" name="2D Line Chart"/>
        <xdr:cNvGraphicFramePr/>
      </xdr:nvGraphicFramePr>
      <xdr:xfrm>
        <a:off x="-587985" y="14349365"/>
        <a:ext cx="5538979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3</xdr:col>
      <xdr:colOff>1242599</xdr:colOff>
      <xdr:row>41</xdr:row>
      <xdr:rowOff>20717</xdr:rowOff>
    </xdr:from>
    <xdr:to>
      <xdr:col>8</xdr:col>
      <xdr:colOff>558578</xdr:colOff>
      <xdr:row>53</xdr:row>
      <xdr:rowOff>211217</xdr:rowOff>
    </xdr:to>
    <xdr:graphicFrame>
      <xdr:nvGraphicFramePr>
        <xdr:cNvPr id="5" name="2D Line Chart"/>
        <xdr:cNvGraphicFramePr/>
      </xdr:nvGraphicFramePr>
      <xdr:xfrm>
        <a:off x="4976399" y="14423787"/>
        <a:ext cx="5538979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2</xdr:col>
      <xdr:colOff>1022477</xdr:colOff>
      <xdr:row>85</xdr:row>
      <xdr:rowOff>6418</xdr:rowOff>
    </xdr:from>
    <xdr:to>
      <xdr:col>6</xdr:col>
      <xdr:colOff>1138936</xdr:colOff>
      <xdr:row>97</xdr:row>
      <xdr:rowOff>196918</xdr:rowOff>
    </xdr:to>
    <xdr:graphicFrame>
      <xdr:nvGraphicFramePr>
        <xdr:cNvPr id="6" name="2D Line Chart"/>
        <xdr:cNvGraphicFramePr/>
      </xdr:nvGraphicFramePr>
      <xdr:xfrm>
        <a:off x="3511677" y="27680988"/>
        <a:ext cx="5094860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9</xdr:col>
      <xdr:colOff>316102</xdr:colOff>
      <xdr:row>23</xdr:row>
      <xdr:rowOff>192220</xdr:rowOff>
    </xdr:from>
    <xdr:to>
      <xdr:col>13</xdr:col>
      <xdr:colOff>206986</xdr:colOff>
      <xdr:row>37</xdr:row>
      <xdr:rowOff>265877</xdr:rowOff>
    </xdr:to>
    <xdr:graphicFrame>
      <xdr:nvGraphicFramePr>
        <xdr:cNvPr id="7" name="3D Line Chart"/>
        <xdr:cNvGraphicFramePr/>
      </xdr:nvGraphicFramePr>
      <xdr:xfrm>
        <a:off x="11517502" y="9166040"/>
        <a:ext cx="4869285" cy="429640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8</xdr:col>
      <xdr:colOff>688920</xdr:colOff>
      <xdr:row>41</xdr:row>
      <xdr:rowOff>20717</xdr:rowOff>
    </xdr:from>
    <xdr:to>
      <xdr:col>12</xdr:col>
      <xdr:colOff>1023438</xdr:colOff>
      <xdr:row>53</xdr:row>
      <xdr:rowOff>211217</xdr:rowOff>
    </xdr:to>
    <xdr:graphicFrame>
      <xdr:nvGraphicFramePr>
        <xdr:cNvPr id="8" name="2D Line Chart"/>
        <xdr:cNvGraphicFramePr/>
      </xdr:nvGraphicFramePr>
      <xdr:xfrm>
        <a:off x="10645720" y="14423787"/>
        <a:ext cx="5312919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4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R21"/>
  <sheetViews>
    <sheetView workbookViewId="0" showGridLines="0" defaultGridColor="1">
      <pane topLeftCell="B3" xSplit="1" ySplit="2" activePane="bottomRight" state="frozen"/>
    </sheetView>
  </sheetViews>
  <sheetFormatPr defaultColWidth="19.6" defaultRowHeight="23.75" customHeight="1" outlineLevelRow="0" outlineLevelCol="0"/>
  <cols>
    <col min="1" max="18" width="19.6016" style="1" customWidth="1"/>
    <col min="19" max="16384" width="19.60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46.0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</row>
    <row r="3" ht="31" customHeight="1">
      <c r="A3" t="s" s="4">
        <v>19</v>
      </c>
      <c r="B3" s="5">
        <v>1</v>
      </c>
      <c r="C3" s="6">
        <v>-217.26320115</v>
      </c>
      <c r="D3" s="6">
        <v>-217.25615022</v>
      </c>
      <c r="E3" s="6">
        <v>-0.0070509374094</v>
      </c>
      <c r="F3" s="6">
        <v>0.554273625280</v>
      </c>
      <c r="G3" s="7">
        <v>0</v>
      </c>
      <c r="H3" s="7">
        <v>0</v>
      </c>
      <c r="I3" s="7">
        <v>1</v>
      </c>
      <c r="J3" s="7">
        <v>0</v>
      </c>
      <c r="K3" s="6">
        <v>19.359408786</v>
      </c>
      <c r="L3" s="6">
        <v>42.795289009</v>
      </c>
      <c r="M3" s="6">
        <v>-76.98646107099999</v>
      </c>
      <c r="N3" s="6">
        <v>-162.19379482</v>
      </c>
      <c r="O3" s="6">
        <v>204.21718164</v>
      </c>
      <c r="P3" s="6">
        <v>11.017387742</v>
      </c>
      <c r="Q3" s="6">
        <v>-236.10575272</v>
      </c>
      <c r="R3" t="s" s="8">
        <v>20</v>
      </c>
    </row>
    <row r="4" ht="30.8" customHeight="1">
      <c r="A4" t="s" s="9">
        <v>21</v>
      </c>
      <c r="B4" s="10">
        <v>1</v>
      </c>
      <c r="C4" s="11">
        <v>-217.47570564</v>
      </c>
      <c r="D4" s="11">
        <v>-217.45661021</v>
      </c>
      <c r="E4" s="11">
        <v>-0.019095425132</v>
      </c>
      <c r="F4" s="11">
        <v>0.5374370925900001</v>
      </c>
      <c r="G4" s="12">
        <v>0</v>
      </c>
      <c r="H4" s="12">
        <v>0</v>
      </c>
      <c r="I4" s="12">
        <v>0</v>
      </c>
      <c r="J4" s="12">
        <v>1</v>
      </c>
      <c r="K4" s="11">
        <v>17.290141046</v>
      </c>
      <c r="L4" s="11">
        <v>40.865188808</v>
      </c>
      <c r="M4" s="11">
        <v>-76.45309547700001</v>
      </c>
      <c r="N4" s="11">
        <v>-162.19379482</v>
      </c>
      <c r="O4" s="11">
        <v>200.25565637</v>
      </c>
      <c r="P4" s="11">
        <v>11.542433778</v>
      </c>
      <c r="Q4" s="11">
        <v>-231.47299887</v>
      </c>
      <c r="R4" s="11" cm="1">
        <f t="array" ref="R4">C4-C3</f>
        <v>-0.21250449</v>
      </c>
    </row>
    <row r="5" ht="30.8" customHeight="1">
      <c r="A5" t="s" s="9">
        <v>22</v>
      </c>
      <c r="B5" s="13">
        <v>4</v>
      </c>
      <c r="C5" s="11">
        <v>-218.28369381</v>
      </c>
      <c r="D5" s="11">
        <v>-218.27670307</v>
      </c>
      <c r="E5" s="11">
        <v>-0.0069907346593</v>
      </c>
      <c r="F5" s="11">
        <v>0.513882077250</v>
      </c>
      <c r="G5" s="12">
        <v>2</v>
      </c>
      <c r="H5" s="12">
        <v>0</v>
      </c>
      <c r="I5" s="12">
        <v>1</v>
      </c>
      <c r="J5" s="12">
        <v>1</v>
      </c>
      <c r="K5" s="11">
        <v>16.679722559</v>
      </c>
      <c r="L5" s="11">
        <v>41.080514162</v>
      </c>
      <c r="M5" s="11">
        <v>-76.50886441199999</v>
      </c>
      <c r="N5" s="11">
        <v>-162.19379482</v>
      </c>
      <c r="O5" s="11">
        <v>200.5534893</v>
      </c>
      <c r="P5" s="11">
        <v>11.465901967</v>
      </c>
      <c r="Q5" s="11">
        <v>-224.26375723</v>
      </c>
      <c r="R5" s="11" cm="1">
        <f t="array" ref="R5">C5-C4</f>
        <v>-0.80798817</v>
      </c>
    </row>
    <row r="6" ht="30.8" customHeight="1">
      <c r="A6" t="s" s="9">
        <v>23</v>
      </c>
      <c r="B6" s="13">
        <v>4</v>
      </c>
      <c r="C6" s="11">
        <v>-217.65734748</v>
      </c>
      <c r="D6" s="11">
        <v>-217.65057516</v>
      </c>
      <c r="E6" s="11">
        <v>-0.0067723181526</v>
      </c>
      <c r="F6" s="11">
        <v>0.508211450880</v>
      </c>
      <c r="G6" s="12">
        <v>2</v>
      </c>
      <c r="H6" s="12">
        <v>0</v>
      </c>
      <c r="I6" s="12">
        <v>1</v>
      </c>
      <c r="J6" s="12">
        <v>1</v>
      </c>
      <c r="K6" s="11">
        <v>17.325138313</v>
      </c>
      <c r="L6" s="11">
        <v>41.100161208</v>
      </c>
      <c r="M6" s="11">
        <v>-76.51597982600001</v>
      </c>
      <c r="N6" s="11">
        <v>-162.19379482</v>
      </c>
      <c r="O6" s="11">
        <v>200.60946039</v>
      </c>
      <c r="P6" s="11">
        <v>11.468787183</v>
      </c>
      <c r="Q6" s="11">
        <v>-228.30831851</v>
      </c>
      <c r="R6" s="11" cm="1">
        <f t="array" ref="R6">C6-C5</f>
        <v>0.62634633</v>
      </c>
    </row>
    <row r="7" ht="30.8" customHeight="1">
      <c r="A7" t="s" s="9">
        <v>24</v>
      </c>
      <c r="B7" s="13">
        <v>10</v>
      </c>
      <c r="C7" s="11">
        <v>-216.6966131</v>
      </c>
      <c r="D7" s="11">
        <v>-216.69164416</v>
      </c>
      <c r="E7" s="11">
        <v>-0.0049689435654</v>
      </c>
      <c r="F7" s="11">
        <v>0.504960704310</v>
      </c>
      <c r="G7" s="12">
        <v>5</v>
      </c>
      <c r="H7" s="12">
        <v>1</v>
      </c>
      <c r="I7" s="12">
        <v>3</v>
      </c>
      <c r="J7" s="12">
        <v>1</v>
      </c>
      <c r="K7" s="11">
        <v>18.266020254</v>
      </c>
      <c r="L7" s="11">
        <v>41.081565908</v>
      </c>
      <c r="M7" s="11">
        <v>-76.51158388499999</v>
      </c>
      <c r="N7" s="11">
        <v>-162.19379482</v>
      </c>
      <c r="O7" s="11">
        <v>200.58065891</v>
      </c>
      <c r="P7" s="11">
        <v>11.477366543</v>
      </c>
      <c r="Q7" s="11">
        <v>-233.44835227</v>
      </c>
      <c r="R7" s="11" cm="1">
        <f t="array" ref="R7">C7-C6</f>
        <v>0.96073438</v>
      </c>
    </row>
    <row r="8" ht="30.8" customHeight="1">
      <c r="A8" t="s" s="9">
        <v>25</v>
      </c>
      <c r="B8" s="13">
        <v>10</v>
      </c>
      <c r="C8" s="11">
        <v>-215.82580883</v>
      </c>
      <c r="D8" s="11">
        <v>-215.82243604</v>
      </c>
      <c r="E8" s="11">
        <v>-0.0033727870851</v>
      </c>
      <c r="F8" s="11">
        <v>0.504845750030</v>
      </c>
      <c r="G8" s="12">
        <v>4</v>
      </c>
      <c r="H8" s="12">
        <v>2</v>
      </c>
      <c r="I8" s="12">
        <v>3</v>
      </c>
      <c r="J8" s="12">
        <v>1</v>
      </c>
      <c r="K8" s="11">
        <v>19.132457231</v>
      </c>
      <c r="L8" s="11">
        <v>41.078902</v>
      </c>
      <c r="M8" s="11">
        <v>-76.51104370100001</v>
      </c>
      <c r="N8" s="11">
        <v>-162.19379482</v>
      </c>
      <c r="O8" s="11">
        <v>200.57336227</v>
      </c>
      <c r="P8" s="11">
        <v>11.478610742</v>
      </c>
      <c r="Q8" s="11">
        <v>-238.14883342</v>
      </c>
      <c r="R8" s="11" cm="1">
        <f t="array" ref="R8">C8-C7</f>
        <v>0.87080427</v>
      </c>
    </row>
    <row r="9" ht="30.8" customHeight="1">
      <c r="A9" t="s" s="9">
        <v>26</v>
      </c>
      <c r="B9" s="13">
        <v>20</v>
      </c>
      <c r="C9" s="11">
        <v>-215.39565512</v>
      </c>
      <c r="D9" s="11">
        <v>-215.393098</v>
      </c>
      <c r="E9" s="11">
        <v>-0.002557111493</v>
      </c>
      <c r="F9" s="11">
        <v>0.507376799090</v>
      </c>
      <c r="G9" s="12">
        <v>8</v>
      </c>
      <c r="H9" s="12">
        <v>4</v>
      </c>
      <c r="I9" s="12">
        <v>5</v>
      </c>
      <c r="J9" s="12">
        <v>3</v>
      </c>
      <c r="K9" s="11">
        <v>19.576477354</v>
      </c>
      <c r="L9" s="11">
        <v>41.094049804</v>
      </c>
      <c r="M9" s="11">
        <v>-76.514939865</v>
      </c>
      <c r="N9" s="11">
        <v>-162.19379482</v>
      </c>
      <c r="O9" s="11">
        <v>200.59846631</v>
      </c>
      <c r="P9" s="11">
        <v>11.473165665</v>
      </c>
      <c r="Q9" s="11">
        <v>-240.33690471</v>
      </c>
      <c r="R9" s="11" cm="1">
        <f t="array" ref="R9">C9-C8</f>
        <v>0.43015371</v>
      </c>
    </row>
    <row r="10" ht="30.8" customHeight="1">
      <c r="A10" t="s" s="9">
        <v>27</v>
      </c>
      <c r="B10" s="13">
        <v>20</v>
      </c>
      <c r="C10" s="11">
        <v>-215.29786635</v>
      </c>
      <c r="D10" s="11">
        <v>-215.29530397</v>
      </c>
      <c r="E10" s="11">
        <v>-0.0025623832919</v>
      </c>
      <c r="F10" s="11">
        <v>0.5085948487600001</v>
      </c>
      <c r="G10" s="12">
        <v>8</v>
      </c>
      <c r="H10" s="12">
        <v>4</v>
      </c>
      <c r="I10" s="12">
        <v>3</v>
      </c>
      <c r="J10" s="12">
        <v>5</v>
      </c>
      <c r="K10" s="11">
        <v>19.675392934</v>
      </c>
      <c r="L10" s="11">
        <v>41.095150418</v>
      </c>
      <c r="M10" s="11">
        <v>-76.51511698100001</v>
      </c>
      <c r="N10" s="11">
        <v>-162.19379482</v>
      </c>
      <c r="O10" s="11">
        <v>200.59726595</v>
      </c>
      <c r="P10" s="11">
        <v>11.471895541</v>
      </c>
      <c r="Q10" s="11">
        <v>-240.8994809</v>
      </c>
      <c r="R10" s="11" cm="1">
        <f t="array" ref="R10">C10-C9</f>
        <v>0.09778877</v>
      </c>
    </row>
    <row r="11" ht="30.8" customHeight="1">
      <c r="A11" t="s" s="9">
        <v>28</v>
      </c>
      <c r="B11" s="13">
        <v>35</v>
      </c>
      <c r="C11" s="11">
        <v>-215.26355732</v>
      </c>
      <c r="D11" s="11">
        <v>-215.2610835</v>
      </c>
      <c r="E11" s="11">
        <v>-0.0024738131684</v>
      </c>
      <c r="F11" s="11">
        <v>0.509293530920</v>
      </c>
      <c r="G11" s="12">
        <v>13</v>
      </c>
      <c r="H11" s="12">
        <v>10</v>
      </c>
      <c r="I11" s="12">
        <v>5</v>
      </c>
      <c r="J11" s="12">
        <v>7</v>
      </c>
      <c r="K11" s="11">
        <v>19.710604799</v>
      </c>
      <c r="L11" s="11">
        <v>41.096281276</v>
      </c>
      <c r="M11" s="11">
        <v>-76.515256927</v>
      </c>
      <c r="N11" s="11">
        <v>-162.19379482</v>
      </c>
      <c r="O11" s="11">
        <v>200.59696934</v>
      </c>
      <c r="P11" s="11">
        <v>11.470718632</v>
      </c>
      <c r="Q11" s="11">
        <v>-241.03654721</v>
      </c>
      <c r="R11" s="11" cm="1">
        <f t="array" ref="R11">C11-C10</f>
        <v>0.03430903</v>
      </c>
    </row>
    <row r="12" ht="30.8" customHeight="1">
      <c r="A12" t="s" s="9">
        <v>29</v>
      </c>
      <c r="B12" s="13">
        <v>35</v>
      </c>
      <c r="C12" s="11">
        <v>-215.25145833</v>
      </c>
      <c r="D12" s="11">
        <v>-215.24896746</v>
      </c>
      <c r="E12" s="11">
        <v>-0.0024908719884</v>
      </c>
      <c r="F12" s="11">
        <v>0.5100480456000001</v>
      </c>
      <c r="G12" s="12">
        <v>12</v>
      </c>
      <c r="H12" s="12">
        <v>6</v>
      </c>
      <c r="I12" s="12">
        <v>10</v>
      </c>
      <c r="J12" s="12">
        <v>7</v>
      </c>
      <c r="K12" s="11">
        <v>19.727233249</v>
      </c>
      <c r="L12" s="11">
        <v>41.100898524</v>
      </c>
      <c r="M12" s="11">
        <v>-76.51657823399999</v>
      </c>
      <c r="N12" s="11">
        <v>-162.19379482</v>
      </c>
      <c r="O12" s="11">
        <v>200.60638249</v>
      </c>
      <c r="P12" s="11">
        <v>11.46960843</v>
      </c>
      <c r="Q12" s="11">
        <v>-241.10894351</v>
      </c>
      <c r="R12" s="11" cm="1">
        <f t="array" ref="R12">C12-C11</f>
        <v>0.01209899</v>
      </c>
    </row>
    <row r="13" ht="30.8" customHeight="1">
      <c r="A13" t="s" s="9">
        <v>30</v>
      </c>
      <c r="B13" s="13">
        <v>56</v>
      </c>
      <c r="C13" s="11">
        <v>-215.24569135</v>
      </c>
      <c r="D13" s="11">
        <v>-215.2430888</v>
      </c>
      <c r="E13" s="11">
        <v>-0.0026025417959</v>
      </c>
      <c r="F13" s="11">
        <v>0.510054674980</v>
      </c>
      <c r="G13" s="12">
        <v>22</v>
      </c>
      <c r="H13" s="12">
        <v>10</v>
      </c>
      <c r="I13" s="12">
        <v>15</v>
      </c>
      <c r="J13" s="12">
        <v>7</v>
      </c>
      <c r="K13" s="11">
        <v>19.730288002</v>
      </c>
      <c r="L13" s="11">
        <v>41.097988353</v>
      </c>
      <c r="M13" s="11">
        <v>-76.515785173</v>
      </c>
      <c r="N13" s="11">
        <v>-162.19379482</v>
      </c>
      <c r="O13" s="11">
        <v>200.60098786</v>
      </c>
      <c r="P13" s="11">
        <v>11.470430048</v>
      </c>
      <c r="Q13" s="11">
        <v>-241.13725427</v>
      </c>
      <c r="R13" s="11" cm="1">
        <f t="array" ref="R13">C13-C12</f>
        <v>0.00576698</v>
      </c>
    </row>
    <row r="14" ht="30.8" customHeight="1">
      <c r="A14" t="s" s="9">
        <v>31</v>
      </c>
      <c r="B14" s="13">
        <v>56</v>
      </c>
      <c r="C14" s="11">
        <v>-215.24382241</v>
      </c>
      <c r="D14" s="11">
        <v>-215.24117889</v>
      </c>
      <c r="E14" s="11">
        <v>-0.0026435206094</v>
      </c>
      <c r="F14" s="11">
        <v>0.509904273640</v>
      </c>
      <c r="G14" s="12">
        <v>20</v>
      </c>
      <c r="H14" s="12">
        <v>11</v>
      </c>
      <c r="I14" s="12">
        <v>15</v>
      </c>
      <c r="J14" s="12">
        <v>8</v>
      </c>
      <c r="K14" s="11">
        <v>19.731632917</v>
      </c>
      <c r="L14" s="11">
        <v>41.09740252</v>
      </c>
      <c r="M14" s="11">
        <v>-76.51568152900001</v>
      </c>
      <c r="N14" s="11">
        <v>-162.19379482</v>
      </c>
      <c r="O14" s="11">
        <v>200.60025816</v>
      </c>
      <c r="P14" s="11">
        <v>11.47078701</v>
      </c>
      <c r="Q14" s="11">
        <v>-241.16400489</v>
      </c>
      <c r="R14" s="11" cm="1">
        <f t="array" ref="R14">C14-C13</f>
        <v>0.00186894</v>
      </c>
    </row>
    <row r="15" ht="30.8" customHeight="1">
      <c r="A15" t="s" s="9">
        <v>32</v>
      </c>
      <c r="B15" s="13">
        <v>84</v>
      </c>
      <c r="C15" s="11">
        <v>-215.24137318</v>
      </c>
      <c r="D15" s="11">
        <v>-215.23870851</v>
      </c>
      <c r="E15" s="11">
        <v>-0.0026646741852</v>
      </c>
      <c r="F15" s="11">
        <v>0.509928417150</v>
      </c>
      <c r="G15" s="12">
        <v>35</v>
      </c>
      <c r="H15" s="12">
        <v>14</v>
      </c>
      <c r="I15" s="12">
        <v>22</v>
      </c>
      <c r="J15" s="12">
        <v>10</v>
      </c>
      <c r="K15" s="11">
        <v>19.733889876</v>
      </c>
      <c r="L15" s="11">
        <v>41.097191345</v>
      </c>
      <c r="M15" s="11">
        <v>-76.515648093</v>
      </c>
      <c r="N15" s="11">
        <v>-162.19379482</v>
      </c>
      <c r="O15" s="11">
        <v>200.60046303</v>
      </c>
      <c r="P15" s="11">
        <v>11.471011785</v>
      </c>
      <c r="Q15" s="11">
        <v>-241.16712516</v>
      </c>
      <c r="R15" s="11" cm="1">
        <f t="array" ref="R15">C15-C14</f>
        <v>0.00244923</v>
      </c>
    </row>
    <row r="16" ht="30.8" customHeight="1">
      <c r="A16" t="s" s="9">
        <v>33</v>
      </c>
      <c r="B16" s="13">
        <v>84</v>
      </c>
      <c r="C16" s="11">
        <v>-215.89749625</v>
      </c>
      <c r="D16" s="11">
        <v>-215.89486154</v>
      </c>
      <c r="E16" s="11">
        <v>-0.0026347177007</v>
      </c>
      <c r="F16" s="11">
        <v>0.513636410830</v>
      </c>
      <c r="G16" s="12">
        <v>33</v>
      </c>
      <c r="H16" s="12">
        <v>14</v>
      </c>
      <c r="I16" s="12">
        <v>23</v>
      </c>
      <c r="J16" s="12">
        <v>11</v>
      </c>
      <c r="K16" s="11">
        <v>19.854125138</v>
      </c>
      <c r="L16" s="11">
        <v>41.431294752</v>
      </c>
      <c r="M16" s="11">
        <v>-77.28666891</v>
      </c>
      <c r="N16" s="11">
        <v>-162.19379482</v>
      </c>
      <c r="O16" s="11">
        <v>201.33500376</v>
      </c>
      <c r="P16" s="11">
        <v>11.403819108</v>
      </c>
      <c r="Q16" s="11">
        <v>-241.80507315</v>
      </c>
      <c r="R16" s="11" cm="1">
        <f t="array" ref="R16">C16-C15</f>
        <v>-0.65612307</v>
      </c>
    </row>
    <row r="17" ht="30.8" customHeight="1">
      <c r="A17" t="s" s="9">
        <v>34</v>
      </c>
      <c r="B17" s="13">
        <v>120</v>
      </c>
      <c r="C17" s="11">
        <v>-215.23982013</v>
      </c>
      <c r="D17" s="11">
        <v>-215.23714533</v>
      </c>
      <c r="E17" s="11">
        <v>-0.0026747927352</v>
      </c>
      <c r="F17" s="11">
        <v>0.509799373530</v>
      </c>
      <c r="G17" s="12">
        <v>49</v>
      </c>
      <c r="H17" s="12">
        <v>24</v>
      </c>
      <c r="I17" s="12">
        <v>27</v>
      </c>
      <c r="J17" s="12">
        <v>16</v>
      </c>
      <c r="K17" s="11">
        <v>19.734211108</v>
      </c>
      <c r="L17" s="11">
        <v>41.095894097</v>
      </c>
      <c r="M17" s="11">
        <v>-76.515337368</v>
      </c>
      <c r="N17" s="11">
        <v>-162.19379482</v>
      </c>
      <c r="O17" s="11">
        <v>200.59829096</v>
      </c>
      <c r="P17" s="11">
        <v>11.471546669</v>
      </c>
      <c r="Q17" s="11">
        <v>-241.18594086</v>
      </c>
      <c r="R17" s="11" cm="1">
        <f t="array" ref="R17">C17-C16</f>
        <v>0.65767612</v>
      </c>
    </row>
    <row r="18" ht="30.8" customHeight="1">
      <c r="A18" t="s" s="9">
        <v>35</v>
      </c>
      <c r="B18" s="13">
        <v>120</v>
      </c>
      <c r="C18" s="11">
        <v>-215.89550005</v>
      </c>
      <c r="D18" s="11">
        <v>-215.89286804</v>
      </c>
      <c r="E18" s="11">
        <v>-0.0026320039915</v>
      </c>
      <c r="F18" s="11">
        <v>0.513689996240</v>
      </c>
      <c r="G18" s="12">
        <v>43</v>
      </c>
      <c r="H18" s="12">
        <v>28</v>
      </c>
      <c r="I18" s="12">
        <v>29</v>
      </c>
      <c r="J18" s="12">
        <v>16</v>
      </c>
      <c r="K18" s="11">
        <v>19.856383145</v>
      </c>
      <c r="L18" s="11">
        <v>41.431553986</v>
      </c>
      <c r="M18" s="11">
        <v>-77.286764089</v>
      </c>
      <c r="N18" s="11">
        <v>-162.19379482</v>
      </c>
      <c r="O18" s="11">
        <v>201.33562897</v>
      </c>
      <c r="P18" s="11">
        <v>11.403827913</v>
      </c>
      <c r="Q18" s="11">
        <v>-241.81551454</v>
      </c>
      <c r="R18" s="11" cm="1">
        <f t="array" ref="R18">C18-C17</f>
        <v>-0.65567992</v>
      </c>
    </row>
    <row r="19" ht="30.8" customHeight="1">
      <c r="A19" t="s" s="9">
        <v>36</v>
      </c>
      <c r="B19" s="13">
        <v>165</v>
      </c>
      <c r="C19" s="11">
        <v>-215.89466115</v>
      </c>
      <c r="D19" s="11">
        <v>-215.89200981</v>
      </c>
      <c r="E19" s="11">
        <v>-0.0026513384844</v>
      </c>
      <c r="F19" s="11">
        <v>0.513681212970</v>
      </c>
      <c r="G19" s="12">
        <v>63</v>
      </c>
      <c r="H19" s="12">
        <v>41</v>
      </c>
      <c r="I19" s="12">
        <v>38</v>
      </c>
      <c r="J19" s="12">
        <v>18</v>
      </c>
      <c r="K19" s="11">
        <v>19.856861947</v>
      </c>
      <c r="L19" s="11">
        <v>41.431181401</v>
      </c>
      <c r="M19" s="11">
        <v>-77.286635307</v>
      </c>
      <c r="N19" s="11">
        <v>-162.19379482</v>
      </c>
      <c r="O19" s="11">
        <v>201.33473313</v>
      </c>
      <c r="P19" s="11">
        <v>11.403845288</v>
      </c>
      <c r="Q19" s="11">
        <v>-241.81651132</v>
      </c>
      <c r="R19" s="11" cm="1">
        <f t="array" ref="R19">C19-C18</f>
        <v>0.0008389</v>
      </c>
    </row>
    <row r="20" ht="30.8" customHeight="1">
      <c r="A20" t="s" s="9">
        <v>37</v>
      </c>
      <c r="B20" s="13">
        <v>165</v>
      </c>
      <c r="C20" s="11">
        <v>-215.89413547</v>
      </c>
      <c r="D20" s="11">
        <v>-215.89148761</v>
      </c>
      <c r="E20" s="11">
        <v>-0.0026478558323</v>
      </c>
      <c r="F20" s="11">
        <v>0.513646561630</v>
      </c>
      <c r="G20" s="12">
        <v>59</v>
      </c>
      <c r="H20" s="12">
        <v>40</v>
      </c>
      <c r="I20" s="12">
        <v>42</v>
      </c>
      <c r="J20" s="12">
        <v>19</v>
      </c>
      <c r="K20" s="11">
        <v>19.857454153</v>
      </c>
      <c r="L20" s="11">
        <v>41.431259548</v>
      </c>
      <c r="M20" s="11">
        <v>-77.286664215</v>
      </c>
      <c r="N20" s="11">
        <v>-162.19379482</v>
      </c>
      <c r="O20" s="11">
        <v>201.33479129</v>
      </c>
      <c r="P20" s="11">
        <v>11.403818728</v>
      </c>
      <c r="Q20" s="11">
        <v>-241.81992287</v>
      </c>
      <c r="R20" s="11" cm="1">
        <f t="array" ref="R20">C20-C19</f>
        <v>0.00052568</v>
      </c>
    </row>
    <row r="21" ht="30.8" customHeight="1">
      <c r="A21" t="s" s="9">
        <v>38</v>
      </c>
      <c r="B21" s="14"/>
      <c r="C21" s="11"/>
      <c r="D21" s="11"/>
      <c r="E21" s="11"/>
      <c r="F21" s="11"/>
      <c r="G21" s="15"/>
      <c r="H21" s="15"/>
      <c r="I21" s="15"/>
      <c r="J21" s="15"/>
      <c r="K21" s="11"/>
      <c r="L21" s="11"/>
      <c r="M21" s="11"/>
      <c r="N21" s="11"/>
      <c r="O21" s="11"/>
      <c r="P21" s="11"/>
      <c r="Q21" s="11"/>
      <c r="R21" s="11" cm="1">
        <f t="array" ref="R21">C21-C20</f>
        <v>215.89413547</v>
      </c>
    </row>
  </sheetData>
  <mergeCells count="1">
    <mergeCell ref="A1:R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